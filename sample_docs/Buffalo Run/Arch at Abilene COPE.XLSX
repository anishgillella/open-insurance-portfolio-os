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66925"/>
  <mc:AlternateContent xmlns:mc="http://schemas.openxmlformats.org/markup-compatibility/2006">
    <mc:Choice Requires="x15">
      <x15ac:absPath xmlns:x15ac="http://schemas.microsoft.com/office/spreadsheetml/2010/11/ac" url="C:\Users\local_ktaylor\Temp\ImageRightTEMP\imageright.desktop\ExternalViewer\n05yggw2dce\"/>
    </mc:Choice>
  </mc:AlternateContent>
  <xr:revisionPtr revIDLastSave="0" documentId="13_ncr:1_{375243DC-DBF6-4B64-9C5D-3112916495AB}" xr6:coauthVersionLast="47" xr6:coauthVersionMax="47" xr10:uidLastSave="{00000000-0000-0000-0000-000000000000}"/>
  <bookViews>
    <workbookView xWindow="-120" yWindow="-120" windowWidth="29040" windowHeight="15840" xr2:uid="{00000000-000D-0000-FFFF-FFFF00000000}"/>
  </bookViews>
  <sheets>
    <sheet name="Asset Form" sheetId="1" r:id="rId1"/>
    <sheet name="Lists" sheetId="2" state="hidden" r:id="rId2"/>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 i="1" l="1"/>
  <c r="BA2" i="1"/>
  <c r="BF2" i="1"/>
  <c r="AH2" i="1" s="1"/>
  <c r="AM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Wolfe, Adare</author>
  </authors>
  <commentList>
    <comment ref="AP1" authorId="0" shapeId="0" xr:uid="{39B9648D-16B6-48D0-9C90-AE823B4A9629}">
      <text>
        <r>
          <rPr>
            <sz val="9"/>
            <color indexed="81"/>
            <rFont val="Tahoma"/>
            <family val="2"/>
          </rPr>
          <t>Frame (ISO 1) Wood frame walls, floors and roof deck.  Brick Veneer, wood/hardiplank siding, stucco cladding.
Joisted Masonry (ISO 2) Noncombustible   masonry walls with wood frame roof.    Concrete block, masonry, or reinforced masonry load bearing exterior walls. 
Noncombustible (ISO 3) Minimal combustible materials in the building construction.  Typical steel frame walls with masonry in-fill, brick veneer, metal sheathing, EFIS.  Steel framing is load bearing portion of the building frame.  If multi-story, floors are commonly concrete on steel frame on steel deck.
Masonry Noncombustible (ISO 4)  Concrete block, reinforced masonry, tilt-up   concrete load bearing walls - may be combined with some heavy steel   framing.  Floors commonly concrete on   steel deck for multi-story buildings.    Roof construction is typically heavy steel frames.
 Modified Fire Resistive (ISO 5) Modified or semi Fire Resistive.  Protected steel and/or concrete or heavy   masonry walls and floors.  Semi wind   resistive.
Fire Resistive (ISO 6)  Reinforced concrete construction building   frame and floors and/or very well protected steel and concrete.  Floors are minimum 4" cast in place   concrete, precast concrete or concrete on protected steel.  Wind resistive.
Podium Style - Concrete or steel   frame first floor with Frame construction on top.</t>
        </r>
      </text>
    </comment>
  </commentList>
</comments>
</file>

<file path=xl/sharedStrings.xml><?xml version="1.0" encoding="utf-8"?>
<sst xmlns="http://schemas.openxmlformats.org/spreadsheetml/2006/main" count="201" uniqueCount="154">
  <si>
    <t>ID</t>
  </si>
  <si>
    <t>Start time</t>
  </si>
  <si>
    <t>Completion time</t>
  </si>
  <si>
    <t>Email</t>
  </si>
  <si>
    <t>Name</t>
  </si>
  <si>
    <t>Requester Email</t>
  </si>
  <si>
    <t>Requester Name</t>
  </si>
  <si>
    <t>Estimate date for coverage to begin?</t>
  </si>
  <si>
    <t>Current insurance expiration date?</t>
  </si>
  <si>
    <t>Managed by Asset</t>
  </si>
  <si>
    <t>Please select whether you currently own this asset or if this is a potential acquisition.</t>
  </si>
  <si>
    <t>If you currently own this property, please provide the date you took ownership. If you are purchasing this property, please provide the date the seller took ownership.</t>
  </si>
  <si>
    <t>Location Name</t>
  </si>
  <si>
    <t>Entity Group</t>
  </si>
  <si>
    <t>Ownership Entity</t>
  </si>
  <si>
    <t>Address</t>
  </si>
  <si>
    <t>City</t>
  </si>
  <si>
    <t>State</t>
  </si>
  <si>
    <t>Zip Code</t>
  </si>
  <si>
    <t>County</t>
  </si>
  <si>
    <t>Asset Type</t>
  </si>
  <si>
    <t>Number of Market Rate Units</t>
  </si>
  <si>
    <t>Number of Section 42 Units</t>
  </si>
  <si>
    <t>Number of Section 8 Units</t>
  </si>
  <si>
    <t>Number of Senior Units</t>
  </si>
  <si>
    <t>Number of Student Units</t>
  </si>
  <si>
    <t>Student: Number of beds</t>
  </si>
  <si>
    <t>Number of other Unit type</t>
  </si>
  <si>
    <t>Total Units</t>
  </si>
  <si>
    <t>Occupancy %</t>
  </si>
  <si>
    <t>Parking Price Per Sqft</t>
  </si>
  <si>
    <t>Parking Garage Value</t>
  </si>
  <si>
    <t>Residential Price Per Sqft</t>
  </si>
  <si>
    <t>Current Building Value</t>
  </si>
  <si>
    <t>Retail Cost Per Sqft</t>
  </si>
  <si>
    <t>Retail Comercial Value</t>
  </si>
  <si>
    <t>Contents Value</t>
  </si>
  <si>
    <t>Gross Rents (12 months)</t>
  </si>
  <si>
    <t>TIV</t>
  </si>
  <si>
    <t>Year Built</t>
  </si>
  <si>
    <t>Year Building Updated</t>
  </si>
  <si>
    <t>Construction Type</t>
  </si>
  <si>
    <t>Number of Stories</t>
  </si>
  <si>
    <t>Wiring</t>
  </si>
  <si>
    <t>Year Roof Installed</t>
  </si>
  <si>
    <t>Are there plans for structural/load bearing or foundation renovations?</t>
  </si>
  <si>
    <t>If yes, please provide additional details and estimated timeline?</t>
  </si>
  <si>
    <t>Are Stab-Lock or Pacific Breaker panels present?</t>
  </si>
  <si>
    <t>Cladding Style</t>
  </si>
  <si>
    <t>Number of Apartment Bldgs.</t>
  </si>
  <si>
    <t>Number of Clubhouse Bldgs</t>
  </si>
  <si>
    <t>Number of Ancillary Bldgs.</t>
  </si>
  <si>
    <t>Total Buildings</t>
  </si>
  <si>
    <t>Residential Sqft</t>
  </si>
  <si>
    <t>Retail/Commercial Sqft</t>
  </si>
  <si>
    <t>Clubhouse Sqft</t>
  </si>
  <si>
    <t>Garage Square Feet</t>
  </si>
  <si>
    <t>Gross Sqft</t>
  </si>
  <si>
    <t>If there is a parking garage, please confirm which floor this is on or if separate structure.</t>
  </si>
  <si>
    <t> If there is a commercial space, please confirm which floor this is on</t>
  </si>
  <si>
    <t>If commercial/retail space please describe occupancy.</t>
  </si>
  <si>
    <t>Number of Pools</t>
  </si>
  <si>
    <t>Pool - Diving Boards</t>
  </si>
  <si>
    <t>Pool - Fencing</t>
  </si>
  <si>
    <t>Pool - Marked Depth</t>
  </si>
  <si>
    <t>Pool - Self Locking Gates</t>
  </si>
  <si>
    <t>On Call Maintenance Available 24/7</t>
  </si>
  <si>
    <t>Number of Exits per building</t>
  </si>
  <si>
    <t>Boilers</t>
  </si>
  <si>
    <t>Building(s) Sprinklered?</t>
  </si>
  <si>
    <t>Area Sprinklered</t>
  </si>
  <si>
    <t>Smoke Alarms (yes/no)</t>
  </si>
  <si>
    <t>Smoke detectors battery or hard wired?</t>
  </si>
  <si>
    <t>Central Station Fire Alarm</t>
  </si>
  <si>
    <t>Are Pull Cords Present?</t>
  </si>
  <si>
    <t>If Yes, Who monitors?</t>
  </si>
  <si>
    <t>Exterior Lighting?</t>
  </si>
  <si>
    <t>Are there video surveillance cameras on the property?</t>
  </si>
  <si>
    <t>Is the property fenced?</t>
  </si>
  <si>
    <t xml:space="preserve">Are there vehicle gates protecting car entrances/exits?
</t>
  </si>
  <si>
    <t xml:space="preserve">Are there key/card entrances for the facility?
</t>
  </si>
  <si>
    <t xml:space="preserve">Security Services?
</t>
  </si>
  <si>
    <t>If other, please describe? </t>
  </si>
  <si>
    <t xml:space="preserve">Playground on Premises
</t>
  </si>
  <si>
    <t>Fitness Center</t>
  </si>
  <si>
    <t>Are Pets Allowed?</t>
  </si>
  <si>
    <t>If Pets Allowed please describe any breed, weight or other limitations.</t>
  </si>
  <si>
    <t>Please include supportive services that are offered</t>
  </si>
  <si>
    <t xml:space="preserve">Please advise if the supportive services are 3rd party managed </t>
  </si>
  <si>
    <t xml:space="preserve">. Please list all recreational facilities </t>
  </si>
  <si>
    <t>We currently own this property.</t>
  </si>
  <si>
    <t>We plan to purchase this property.</t>
  </si>
  <si>
    <t>Multifamily</t>
  </si>
  <si>
    <t>Student</t>
  </si>
  <si>
    <t>Single Family</t>
  </si>
  <si>
    <r>
      <t>Office </t>
    </r>
    <r>
      <rPr>
        <i/>
        <sz val="12"/>
        <color rgb="FF242424"/>
        <rFont val="Segoe UI"/>
        <family val="2"/>
      </rPr>
      <t> (if selected 0 for number of units)</t>
    </r>
  </si>
  <si>
    <t>Mix Multifamily &amp; Student</t>
  </si>
  <si>
    <t>Mix Multifamily &amp; Retail</t>
  </si>
  <si>
    <t>Mix Student &amp; Retail</t>
  </si>
  <si>
    <t>Other</t>
  </si>
  <si>
    <t>Frame (ISO 1)</t>
  </si>
  <si>
    <t>Joisted Masonry (ISO2)</t>
  </si>
  <si>
    <t>Noncombustible (ISO 3)</t>
  </si>
  <si>
    <t>Masonry Noncombustible (ISO 4)</t>
  </si>
  <si>
    <t>Modified Fire Resistive (ISO 5)</t>
  </si>
  <si>
    <t>Fire Resistive (ISO 6)</t>
  </si>
  <si>
    <t>Podium Style</t>
  </si>
  <si>
    <t>Copper</t>
  </si>
  <si>
    <t>Aluminum-pig-tailed (protected)</t>
  </si>
  <si>
    <t>Aluminum (unprotected)</t>
  </si>
  <si>
    <t>Unknown</t>
  </si>
  <si>
    <t>Yes/No Questions</t>
  </si>
  <si>
    <t>Yes</t>
  </si>
  <si>
    <t>No</t>
  </si>
  <si>
    <t>Steel</t>
  </si>
  <si>
    <t>Lap Siding (vinyl, fiber, cement or wood)</t>
  </si>
  <si>
    <t>Brick Veneer</t>
  </si>
  <si>
    <t>Metal Sheathing</t>
  </si>
  <si>
    <t>Wood</t>
  </si>
  <si>
    <t>Hardi-Plank</t>
  </si>
  <si>
    <t>Traditional (hard coat) Stucco</t>
  </si>
  <si>
    <t>EIFS / Synthetic Stucco</t>
  </si>
  <si>
    <t>Impact rated glazed</t>
  </si>
  <si>
    <t>Glazing not designed for impact w/gravel rooftop within 1000 ft</t>
  </si>
  <si>
    <t>Glazing not designed for impact without gravel rooftop within 1000 ft</t>
  </si>
  <si>
    <t>Vinyle (PVC)</t>
  </si>
  <si>
    <t>Stone</t>
  </si>
  <si>
    <t>Glass</t>
  </si>
  <si>
    <t>N/A</t>
  </si>
  <si>
    <t>Common areas only</t>
  </si>
  <si>
    <t>Common areas and units</t>
  </si>
  <si>
    <t>Other </t>
  </si>
  <si>
    <t>Battery</t>
  </si>
  <si>
    <t>Hard wired</t>
  </si>
  <si>
    <t>Both</t>
  </si>
  <si>
    <t>Third party</t>
  </si>
  <si>
    <t>Asset property manager/staff</t>
  </si>
  <si>
    <t>None</t>
  </si>
  <si>
    <t>Security Services?</t>
  </si>
  <si>
    <t>Courtesy patrol</t>
  </si>
  <si>
    <t>Armed Security Guards</t>
  </si>
  <si>
    <t>Unarmed Security Guards</t>
  </si>
  <si>
    <t>Off duty police</t>
  </si>
  <si>
    <t>None </t>
  </si>
  <si>
    <t>ppaul@icarisk.com</t>
  </si>
  <si>
    <t>Prastin Paul</t>
  </si>
  <si>
    <t>Arch at Abilene</t>
  </si>
  <si>
    <t>2702 N Judge Ely Blvd</t>
  </si>
  <si>
    <t>Abilene</t>
  </si>
  <si>
    <t>TX</t>
  </si>
  <si>
    <t>Taylor</t>
  </si>
  <si>
    <t>Confirmed - None.</t>
  </si>
  <si>
    <t>No Large Dogs</t>
  </si>
  <si>
    <t>Eastman Residential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</si>
</sst>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m/d/yy;@"/>
  </numFmts>
  <fonts count="4" x14ac:knownFonts="1">
    <font>
      <sz val="11"/>
      <color theme="1"/>
      <name val="Calibri"/>
      <family val="2"/>
      <scheme val="minor"/>
    </font>
    <font>
      <sz val="8"/>
      <name val="Calibri"/>
      <family val="2"/>
      <scheme val="minor"/>
    </font>
    <font>
      <i/>
      <sz val="12"/>
      <color rgb="FF242424"/>
      <name val="Segoe UI"/>
      <family val="2"/>
    </font>
    <font>
      <sz val="9"/>
      <color indexed="81"/>
      <name val="Tahoma"/>
      <family val="2"/>
    </font>
  </fonts>
  <fills count="7">
    <fill>
      <patternFill patternType="none"/>
    </fill>
    <fill>
      <patternFill patternType="gray125"/>
    </fill>
    <fill>
      <patternFill patternType="solid">
        <fgColor theme="4"/>
        <bgColor indexed="64"/>
      </patternFill>
    </fill>
    <fill>
      <patternFill patternType="solid">
        <fgColor theme="8" tint="-0.249977111117893"/>
        <bgColor indexed="64"/>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2">
    <xf numFmtId="0" fontId="0" fillId="0" borderId="0" xfId="0"/>
    <xf numFmtId="49" fontId="0" fillId="0" borderId="0" xfId="0" applyNumberFormat="1"/>
    <xf numFmtId="2" fontId="0" fillId="0" borderId="0" xfId="0" applyNumberFormat="1"/>
    <xf numFmtId="9" fontId="0" fillId="0" borderId="0" xfId="0" applyNumberFormat="1"/>
    <xf numFmtId="43" fontId="0" fillId="0" borderId="0" xfId="0" applyNumberFormat="1"/>
    <xf numFmtId="164" fontId="0" fillId="0" borderId="0" xfId="0" applyNumberFormat="1"/>
    <xf numFmtId="1" fontId="0" fillId="0" borderId="0" xfId="0" applyNumberFormat="1"/>
    <xf numFmtId="44" fontId="0" fillId="0" borderId="0" xfId="0" applyNumberFormat="1"/>
    <xf numFmtId="1" fontId="0" fillId="2" borderId="0" xfId="0" applyNumberFormat="1" applyFill="1"/>
    <xf numFmtId="14" fontId="0" fillId="0" borderId="0" xfId="0" applyNumberFormat="1"/>
    <xf numFmtId="164" fontId="0" fillId="3" borderId="0" xfId="0" applyNumberFormat="1" applyFill="1"/>
    <xf numFmtId="0" fontId="0" fillId="0" borderId="0" xfId="0" applyAlignment="1">
      <alignment wrapText="1"/>
    </xf>
    <xf numFmtId="0" fontId="0" fillId="3" borderId="0" xfId="0" applyFill="1"/>
    <xf numFmtId="1" fontId="0" fillId="3" borderId="0" xfId="0" applyNumberFormat="1" applyFill="1"/>
    <xf numFmtId="43" fontId="0" fillId="3" borderId="0" xfId="0" applyNumberFormat="1" applyFill="1"/>
    <xf numFmtId="1" fontId="0" fillId="4" borderId="0" xfId="0" applyNumberFormat="1" applyFill="1"/>
    <xf numFmtId="43" fontId="0" fillId="4" borderId="0" xfId="0" applyNumberFormat="1" applyFill="1"/>
    <xf numFmtId="1" fontId="0" fillId="5" borderId="0" xfId="0" applyNumberFormat="1" applyFill="1"/>
    <xf numFmtId="0" fontId="0" fillId="5" borderId="0" xfId="0" applyFill="1"/>
    <xf numFmtId="164" fontId="0" fillId="0" borderId="0" xfId="0" applyNumberFormat="1" applyAlignment="1">
      <alignment wrapText="1"/>
    </xf>
    <xf numFmtId="0" fontId="0" fillId="0" borderId="0" xfId="0" applyFill="1"/>
    <xf numFmtId="43" fontId="0" fillId="0" borderId="0" xfId="0" applyNumberFormat="1" applyFill="1"/>
    <xf numFmtId="164" fontId="0" fillId="0" borderId="0" xfId="0" applyNumberFormat="1" applyFill="1"/>
    <xf numFmtId="49" fontId="0" fillId="0" borderId="0" xfId="0" applyNumberFormat="1" applyFill="1"/>
    <xf numFmtId="1" fontId="0" fillId="0" borderId="0" xfId="0" applyNumberFormat="1" applyFill="1"/>
    <xf numFmtId="2" fontId="0" fillId="0" borderId="0" xfId="0" applyNumberFormat="1" applyFill="1"/>
    <xf numFmtId="44" fontId="0" fillId="0" borderId="0" xfId="0" applyNumberFormat="1" applyFill="1"/>
    <xf numFmtId="14" fontId="0" fillId="0" borderId="0" xfId="0" applyNumberFormat="1" applyFill="1"/>
    <xf numFmtId="9" fontId="0" fillId="0" borderId="0" xfId="0" applyNumberFormat="1" applyFill="1"/>
    <xf numFmtId="0" fontId="0" fillId="6" borderId="0" xfId="0" applyFill="1"/>
    <xf numFmtId="164" fontId="0" fillId="6" borderId="0" xfId="0" applyNumberFormat="1" applyFill="1"/>
    <xf numFmtId="49" fontId="0" fillId="6" borderId="0" xfId="0" applyNumberFormat="1" applyFill="1"/>
  </cellXfs>
  <cellStyles count="1">
    <cellStyle name="Normal" xfId="0" builtinId="0"/>
  </cellStyles>
  <dxfs count="72">
    <dxf>
      <fill>
        <patternFill patternType="solid">
          <fgColor indexed="64"/>
          <bgColor rgb="FFFFFF00"/>
        </patternFill>
      </fill>
    </dxf>
    <dxf>
      <fill>
        <patternFill patternType="solid">
          <fgColor indexed="64"/>
          <bgColor rgb="FFFFFF00"/>
        </patternFill>
      </fill>
    </dxf>
    <dxf>
      <fill>
        <patternFill patternType="none">
          <fgColor indexed="64"/>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solid">
          <fgColor indexed="64"/>
          <bgColor rgb="FFFFFF00"/>
        </patternFill>
      </fill>
    </dxf>
    <dxf>
      <fill>
        <patternFill patternType="none">
          <fgColor indexed="64"/>
          <bgColor auto="1"/>
        </patternFill>
      </fill>
    </dxf>
    <dxf>
      <fill>
        <patternFill patternType="solid">
          <fgColor indexed="64"/>
          <bgColor rgb="FFFFFF00"/>
        </patternFill>
      </fill>
    </dxf>
    <dxf>
      <fill>
        <patternFill patternType="solid">
          <fgColor indexed="64"/>
          <bgColor rgb="FFFFFF00"/>
        </patternFill>
      </fill>
    </dxf>
    <dxf>
      <numFmt numFmtId="1" formatCode="0"/>
    </dxf>
    <dxf>
      <numFmt numFmtId="30" formatCode="@"/>
    </dxf>
    <dxf>
      <numFmt numFmtId="35" formatCode="_(* #,##0.00_);_(* \(#,##0.00\);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patternType="solid">
          <fgColor indexed="64"/>
          <bgColor rgb="FFFFFF00"/>
        </patternFill>
      </fill>
    </dxf>
    <dxf>
      <fill>
        <patternFill patternType="solid">
          <fgColor indexed="64"/>
          <bgColor rgb="FFFFFF00"/>
        </patternFill>
      </fill>
    </dxf>
    <dxf>
      <numFmt numFmtId="1" formatCode="0"/>
    </dxf>
    <dxf>
      <numFmt numFmtId="30" formatCode="@"/>
      <fill>
        <patternFill patternType="solid">
          <fgColor indexed="64"/>
          <bgColor rgb="FFFFFF00"/>
        </patternFill>
      </fill>
    </dxf>
    <dxf>
      <numFmt numFmtId="1" formatCode="0"/>
    </dxf>
    <dxf>
      <numFmt numFmtId="30" formatCode="@"/>
    </dxf>
    <dxf>
      <numFmt numFmtId="1" formatCode="0"/>
    </dxf>
    <dxf>
      <numFmt numFmtId="19" formatCode="m/d/yyyy"/>
    </dxf>
    <dxf>
      <numFmt numFmtId="35" formatCode="_(* #,##0.00_);_(* \(#,##0.00\);_(* &quot;-&quot;??_);_(@_)"/>
    </dxf>
    <dxf>
      <numFmt numFmtId="35" formatCode="_(* #,##0.00_);_(* \(#,##0.00\);_(* &quot;-&quot;??_);_(@_)"/>
      <fill>
        <patternFill patternType="none">
          <fgColor indexed="64"/>
          <bgColor auto="1"/>
        </patternFill>
      </fill>
    </dxf>
    <dxf>
      <numFmt numFmtId="35" formatCode="_(* #,##0.00_);_(* \(#,##0.00\);_(* &quot;-&quot;??_);_(@_)"/>
      <fill>
        <patternFill patternType="solid">
          <fgColor indexed="64"/>
          <bgColor rgb="FFFFFF00"/>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4" formatCode="m/d/yy;@"/>
      <fill>
        <patternFill patternType="solid">
          <fgColor indexed="64"/>
          <bgColor rgb="FFFFFF00"/>
        </patternFill>
      </fill>
    </dxf>
    <dxf>
      <numFmt numFmtId="164" formatCode="m/d/yy;@"/>
      <fill>
        <patternFill patternType="none">
          <fgColor indexed="64"/>
          <bgColor auto="1"/>
        </patternFill>
      </fill>
    </dxf>
    <dxf>
      <numFmt numFmtId="164" formatCode="m/d/yy;@"/>
      <fill>
        <patternFill patternType="solid">
          <fgColor indexed="64"/>
          <bgColor rgb="FFFFFF00"/>
        </patternFill>
      </fill>
    </dxf>
    <dxf>
      <numFmt numFmtId="164" formatCode="m/d/yy;@"/>
    </dxf>
    <dxf>
      <numFmt numFmtId="164" formatCode="m/d/yy;@"/>
    </dxf>
    <dxf>
      <numFmt numFmtId="30" formatCode="@"/>
    </dxf>
    <dxf>
      <numFmt numFmtId="30" formatCode="@"/>
    </dxf>
    <dxf>
      <numFmt numFmtId="30" formatCode="@"/>
    </dxf>
    <dxf>
      <numFmt numFmtId="30" formatCode="@"/>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8-5CC6-11CF-8D67-00AA00BDCE1D}" ax:persistence="persistStream" r:id="rId1"/>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38100</xdr:colOff>
      <xdr:row>0</xdr:row>
      <xdr:rowOff>19050</xdr:rowOff>
    </xdr:from>
    <xdr:to>
      <xdr:col>8</xdr:col>
      <xdr:colOff>28575</xdr:colOff>
      <xdr:row>0</xdr:row>
      <xdr:rowOff>314325</xdr:rowOff>
    </xdr:to>
    <xdr:sp macro="" textlink="">
      <xdr:nvSpPr>
        <xdr:cNvPr id="2" name="TextBox 1">
          <a:extLst>
            <a:ext uri="{FF2B5EF4-FFF2-40B4-BE49-F238E27FC236}">
              <a16:creationId xmlns:a16="http://schemas.microsoft.com/office/drawing/2014/main" id="{A92A0560-3479-3305-2966-770E27707853}"/>
            </a:ext>
          </a:extLst>
        </xdr:cNvPr>
        <xdr:cNvSpPr txBox="1"/>
      </xdr:nvSpPr>
      <xdr:spPr>
        <a:xfrm>
          <a:off x="38100" y="19050"/>
          <a:ext cx="8915400" cy="29527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Asset Living</a:t>
          </a:r>
          <a:r>
            <a:rPr lang="en-US" sz="1400" b="1" baseline="0"/>
            <a:t> Client Exclusive Insurance Program </a:t>
          </a:r>
          <a:r>
            <a:rPr lang="en-US" sz="1100" baseline="0"/>
            <a:t>- Blue columns are required for indication</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0</xdr:col>
          <xdr:colOff>257175</xdr:colOff>
          <xdr:row>9</xdr:row>
          <xdr:rowOff>76200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4F2B55-C0D2-4595-8E28-D21AAB646F30}" name="Table1" displayName="Table1" ref="A1:CL3" totalsRowShown="0">
  <autoFilter ref="A1:CL3" xr:uid="{044F2B55-C0D2-4595-8E28-D21AAB646F30}"/>
  <tableColumns count="90">
    <tableColumn id="1" xr3:uid="{30B6AD68-FF60-46FE-B69C-B953358A80F3}" name="ID"/>
    <tableColumn id="2" xr3:uid="{47A88362-0A02-44E6-A50C-F70F58E818B0}" name="Start time"/>
    <tableColumn id="3" xr3:uid="{9C8084CA-57A4-4C3E-A285-71B70084F79B}" name="Completion time"/>
    <tableColumn id="4" xr3:uid="{820D64FF-9213-4C3E-AA75-8F3314468973}" name="Email" dataDxfId="71"/>
    <tableColumn id="5" xr3:uid="{2C159DA4-494F-4D8E-80E4-5CF3D0476F13}" name="Name" dataDxfId="70"/>
    <tableColumn id="29" xr3:uid="{CDC1F8FE-3522-4154-AFAF-37F1A46A55B1}" name="Requester Email" dataDxfId="69"/>
    <tableColumn id="80" xr3:uid="{0F2DEA47-1F7B-42FE-BB9A-E26F7051B377}" name="Requester Name" dataDxfId="68"/>
    <tableColumn id="6" xr3:uid="{44C937DF-BE71-4F40-AE5B-031B21DC32F5}" name="Estimate date for coverage to begin?" dataDxfId="67"/>
    <tableColumn id="7" xr3:uid="{EA4B0484-E624-4557-8C52-98F7960DD579}" name="Current insurance expiration date?" dataDxfId="66"/>
    <tableColumn id="87" xr3:uid="{7A2787D2-4127-48C8-8FB2-1031DE2F0F24}" name="Managed by Asset" dataDxfId="65"/>
    <tableColumn id="88" xr3:uid="{1C9AE87A-26BB-4DC0-A1E9-1341F2D6808D}" name="Please select whether you currently own this asset or if this is a potential acquisition." dataDxfId="64"/>
    <tableColumn id="91" xr3:uid="{3522CEB2-7E32-4A19-BEE1-3392AFED2C97}" name="If you currently own this property, please provide the date you took ownership. If you are purchasing this property, please provide the date the seller took ownership." dataDxfId="63"/>
    <tableColumn id="8" xr3:uid="{BAF5C3A7-E686-4C68-BCE9-F62B12650584}" name="Location Name" dataDxfId="62"/>
    <tableColumn id="81" xr3:uid="{C8467679-43A4-4C92-87AB-E7B08B44BFE0}" name="Entity Group" dataDxfId="61"/>
    <tableColumn id="9" xr3:uid="{22E60A77-0B95-4D9D-97E6-185512ED4185}" name="Ownership Entity" dataDxfId="60"/>
    <tableColumn id="10" xr3:uid="{BD626ACB-1A18-4F99-BA60-A15A08260FA4}" name="Address" dataDxfId="59"/>
    <tableColumn id="11" xr3:uid="{663ECDEF-0B67-4CC7-AF26-775060971A59}" name="City" dataDxfId="58"/>
    <tableColumn id="12" xr3:uid="{EBEE451D-0C06-4A12-BCB5-566FCA9F59F8}" name="State" dataDxfId="57"/>
    <tableColumn id="82" xr3:uid="{DA35ADDF-7E4D-4D1F-A3FA-D44D02BCE433}" name="Zip Code" dataDxfId="56"/>
    <tableColumn id="13" xr3:uid="{8E98EDAD-35FF-4D24-8BC5-16003AD10995}" name="County"/>
    <tableColumn id="14" xr3:uid="{3FCCC124-5B1F-4439-8610-DE811CB96DB4}" name="Asset Type"/>
    <tableColumn id="15" xr3:uid="{D9513418-A72A-4C7E-AB61-08628FDC29AB}" name="Number of Market Rate Units" dataDxfId="55"/>
    <tableColumn id="16" xr3:uid="{258283AC-AA0D-4843-A268-9DCF8D738741}" name="Number of Section 42 Units" dataDxfId="54"/>
    <tableColumn id="17" xr3:uid="{CA630323-9261-44DC-928D-2166D49C75EA}" name="Number of Section 8 Units" dataDxfId="53"/>
    <tableColumn id="18" xr3:uid="{3599E0FF-885E-4C7A-9D95-7F3FDE469A0B}" name="Number of Senior Units" dataDxfId="52"/>
    <tableColumn id="19" xr3:uid="{E94F9541-8B54-4F6F-9D25-5B14C5FD5A62}" name="Number of Student Units" dataDxfId="51"/>
    <tableColumn id="20" xr3:uid="{8B542448-1546-4DB1-808C-F26CB3BBAEDB}" name="Student: Number of beds" dataDxfId="50"/>
    <tableColumn id="21" xr3:uid="{F72D3F43-85AA-4B7A-8ED3-13BFE912BEF5}" name="Number of other Unit type" dataDxfId="49"/>
    <tableColumn id="89" xr3:uid="{AC2C7B64-C94E-4054-B837-27E5DC02FA8A}" name="Total Units" dataDxfId="48">
      <calculatedColumnFormula>Table1[[#This Row],[Number of Senior Units]]+Table1[[#This Row],[Number of Student Units]]+Table1[[#This Row],[Number of Section 8 Units]]+Table1[[#This Row],[Number of Section 42 Units]]+Table1[[#This Row],[Number of Market Rate Units]]</calculatedColumnFormula>
    </tableColumn>
    <tableColumn id="22" xr3:uid="{4C66835D-FFD1-449D-AEB8-169E41C3DB52}" name="Occupancy %" dataDxfId="47"/>
    <tableColumn id="76" xr3:uid="{E9D92233-630D-4DAC-8959-1D5660B9A244}" name="Parking Price Per Sqft" dataDxfId="46"/>
    <tableColumn id="23" xr3:uid="{2AB4173A-19B1-4502-A345-36A8E338D8F9}" name="Parking Garage Value" dataDxfId="45"/>
    <tableColumn id="77" xr3:uid="{DE866128-237F-402C-9BAF-30D3612EF570}" name="Residential Price Per Sqft" dataDxfId="44">
      <calculatedColumnFormula>Table1[ [#This Row],[Current Building Value] ]/1000</calculatedColumnFormula>
    </tableColumn>
    <tableColumn id="24" xr3:uid="{785898AF-8D1E-4DCE-8992-08E01912468A}" name="Current Building Value" dataDxfId="43">
      <calculatedColumnFormula>Table1[[#This Row],[Residential Price Per Sqft]]*Table1[[#This Row],[Gross Sqft]]</calculatedColumnFormula>
    </tableColumn>
    <tableColumn id="79" xr3:uid="{5E0E6966-B0C0-4224-BED0-F3CE2516D0BC}" name="Retail Cost Per Sqft" dataDxfId="42"/>
    <tableColumn id="78" xr3:uid="{1719B518-504C-4D47-B2F1-E005BD39455E}" name="Retail Comercial Value" dataDxfId="41"/>
    <tableColumn id="25" xr3:uid="{A930A006-C777-4CF6-BCD9-58BE8F2F6E2E}" name="Contents Value" dataDxfId="40"/>
    <tableColumn id="26" xr3:uid="{D1203D53-193C-4392-A9A8-DE2B69D933F6}" name="Gross Rents (12 months)" dataDxfId="39"/>
    <tableColumn id="74" xr3:uid="{92B5F87F-11A1-4962-83F3-80681496C263}" name="TIV" dataDxfId="38">
      <calculatedColumnFormula>SUM(AF2,AH2,AK2,AL2)</calculatedColumnFormula>
    </tableColumn>
    <tableColumn id="27" xr3:uid="{25486E25-43D3-4849-A697-6A57B97A9FC2}" name="Year Built" dataDxfId="37"/>
    <tableColumn id="28" xr3:uid="{431540B5-9097-4F56-96CF-38054B4D77D8}" name="Year Building Updated" dataDxfId="36"/>
    <tableColumn id="30" xr3:uid="{63416A3A-C168-4C3F-ACBB-CB5436523544}" name="Construction Type" dataDxfId="35"/>
    <tableColumn id="31" xr3:uid="{7B487D6D-FF6C-4D95-BD3F-D90E9DFE9929}" name="Number of Stories" dataDxfId="34"/>
    <tableColumn id="32" xr3:uid="{437887AE-B22A-458E-A008-7331E5E28026}" name="Wiring" dataDxfId="33"/>
    <tableColumn id="33" xr3:uid="{62F812CD-0FA1-4CD7-835B-05357A9BB102}" name="Year Roof Installed" dataDxfId="32"/>
    <tableColumn id="34" xr3:uid="{FB949E03-9250-4351-82E2-0620348CC566}" name="Are there plans for structural/load bearing or foundation renovations?"/>
    <tableColumn id="35" xr3:uid="{11DBB36A-391B-4753-82B2-413D25E13947}" name="If yes, please provide additional details and estimated timeline?"/>
    <tableColumn id="36" xr3:uid="{9D45CBB6-1BF9-4C59-AE31-4FEFDFCAE7BB}" name="Are Stab-Lock or Pacific Breaker panels present?" dataDxfId="31"/>
    <tableColumn id="37" xr3:uid="{FE41EF14-4B82-4959-BDB3-6A916B7CC2A5}" name="Cladding Style" dataDxfId="30"/>
    <tableColumn id="38" xr3:uid="{BA3B69A7-45F4-4AF4-B08D-6B1852C8C1FD}" name="Number of Apartment Bldgs." dataDxfId="29"/>
    <tableColumn id="39" xr3:uid="{410F8230-967D-4EF2-9315-18E56D096384}" name="Number of Clubhouse Bldgs" dataDxfId="28"/>
    <tableColumn id="40" xr3:uid="{3EC6E4C1-5473-444A-B5CD-27174368FCDA}" name="Number of Ancillary Bldgs." dataDxfId="27"/>
    <tableColumn id="90" xr3:uid="{2000EA6F-A439-4D5E-9908-63F0550A40B7}" name="Total Buildings" dataDxfId="26">
      <calculatedColumnFormula>Table1[[#This Row],[Number of Apartment Bldgs.]]+Table1[[#This Row],[Number of Clubhouse Bldgs]]+Table1[[#This Row],[Number of Ancillary Bldgs.]]</calculatedColumnFormula>
    </tableColumn>
    <tableColumn id="41" xr3:uid="{34ADA15E-7E77-48C9-B45B-6F532D59F32D}" name="Residential Sqft" dataDxfId="25"/>
    <tableColumn id="42" xr3:uid="{C70FC0DA-48A2-4D2A-8DDF-56EA406F389D}" name="Retail/Commercial Sqft" dataDxfId="24"/>
    <tableColumn id="43" xr3:uid="{D4619882-C30F-4DE8-BFB2-590E4C845029}" name="Clubhouse Sqft" dataDxfId="23"/>
    <tableColumn id="44" xr3:uid="{F70139FB-5F1D-4B1B-BF02-60A3B731F3B5}" name="Garage Square Feet" dataDxfId="22"/>
    <tableColumn id="75" xr3:uid="{A15560E2-BCE8-4B60-AA1D-688E3A5D51CE}" name="Gross Sqft" dataDxfId="21">
      <calculatedColumnFormula>SUM(Table1[[#This Row],[Residential Sqft]:[Garage Square Feet]])</calculatedColumnFormula>
    </tableColumn>
    <tableColumn id="45" xr3:uid="{CEAF1079-9284-4AB2-B2E1-D98CF06CB9CE}" name="If there is a parking garage, please confirm which floor this is on or if separate structure." dataDxfId="20"/>
    <tableColumn id="46" xr3:uid="{17A79634-79E6-42E1-8703-DE0611E62631}" name=" If there is a commercial space, please confirm which floor this is on"/>
    <tableColumn id="47" xr3:uid="{CA8E61BF-D6F3-47C7-B39E-A467AB908C9C}" name="If commercial/retail space please describe occupancy."/>
    <tableColumn id="48" xr3:uid="{B8DE0D84-22DF-4F5C-93FF-F97301CAA1AF}" name="Number of Pools" dataDxfId="19"/>
    <tableColumn id="49" xr3:uid="{303770CF-4995-4C76-A9AB-4CB1EE1FA757}" name="Pool - Diving Boards"/>
    <tableColumn id="50" xr3:uid="{86C9AE38-8BA1-40D7-9BE0-0A367319DCA7}" name="Pool - Fencing"/>
    <tableColumn id="51" xr3:uid="{E0AFFF6E-D82C-4618-9BE0-C5057C0F1B9D}" name="Pool - Marked Depth"/>
    <tableColumn id="52" xr3:uid="{D0C72359-A2DB-4DAF-833B-00947F2CA2E3}" name="Pool - Self Locking Gates" dataDxfId="18"/>
    <tableColumn id="53" xr3:uid="{717E520E-41DF-4A53-A85F-C34B3A84DFE1}" name="On Call Maintenance Available 24/7" dataDxfId="17"/>
    <tableColumn id="54" xr3:uid="{1F9FD840-21B0-4140-80C2-51E395AB4C51}" name="Number of Exits per building"/>
    <tableColumn id="55" xr3:uid="{01597D21-3622-4DE0-898A-C60FA78458AA}" name="Boilers"/>
    <tableColumn id="56" xr3:uid="{91CED14A-751A-47D7-AB66-EA02CC716D23}" name="Building(s) Sprinklered?"/>
    <tableColumn id="57" xr3:uid="{73E64B91-2A44-4B8C-AD33-39A80C7F1DEF}" name="Area Sprinklered" dataDxfId="16"/>
    <tableColumn id="58" xr3:uid="{A2FD66D7-1016-431F-B545-2A2E734B151C}" name="Smoke Alarms (yes/no)"/>
    <tableColumn id="59" xr3:uid="{C62D67B4-08CB-4D18-8203-D04BF2E73399}" name="Smoke detectors battery or hard wired?" dataDxfId="15"/>
    <tableColumn id="60" xr3:uid="{05A77DBC-16E2-494B-AFF4-1557EA52D4C0}" name="Central Station Fire Alarm" dataDxfId="14"/>
    <tableColumn id="61" xr3:uid="{E656B02F-F50B-4685-904D-54E443D3E4AE}" name="Are Pull Cords Present?" dataDxfId="13"/>
    <tableColumn id="62" xr3:uid="{41C2992E-0F17-4A82-A216-E73D6D1C88A2}" name="If Yes, Who monitors?" dataDxfId="12"/>
    <tableColumn id="63" xr3:uid="{663E5D26-93B9-41D7-B4D8-A0D675ABD28B}" name="Exterior Lighting?" dataDxfId="11"/>
    <tableColumn id="64" xr3:uid="{C74C8143-5E5E-43E0-B9A4-176381D07DDD}" name="Are there video surveillance cameras on the property?" dataDxfId="10"/>
    <tableColumn id="65" xr3:uid="{313D83F6-4F51-40C6-94D3-EE781FB755D3}" name="Is the property fenced?"/>
    <tableColumn id="66" xr3:uid="{59310C53-FD62-4D23-B4C4-952B3D5FCAFF}" name="Are there vehicle gates protecting car entrances/exits?_x000a_" dataDxfId="9"/>
    <tableColumn id="67" xr3:uid="{9A152C8D-F10C-441B-ABD7-A1B336286198}" name="Are there key/card entrances for the facility?_x000a_" dataDxfId="8"/>
    <tableColumn id="68" xr3:uid="{73BF55A0-8273-4E86-8042-C2E42415442E}" name="Security Services?_x000a_" dataDxfId="7"/>
    <tableColumn id="69" xr3:uid="{B5B9E589-F6F2-4274-B234-EA5239B14B26}" name="If other, please describe? " dataDxfId="6"/>
    <tableColumn id="70" xr3:uid="{178C57EE-AA36-4DCA-98B9-6BF275D5AB37}" name="Playground on Premises_x000a_" dataDxfId="5"/>
    <tableColumn id="71" xr3:uid="{1A5E8966-7774-481A-924B-BD93DB2E22B0}" name="Fitness Center"/>
    <tableColumn id="72" xr3:uid="{206AB0F7-9B0F-4B2A-BCF1-4C803F19A2D0}" name="Are Pets Allowed?" dataDxfId="4"/>
    <tableColumn id="73" xr3:uid="{7C715BEF-1240-478C-B0D4-CE8A22C9CFE9}" name="If Pets Allowed please describe any breed, weight or other limitations." dataDxfId="3"/>
    <tableColumn id="84" xr3:uid="{7CD6F706-2CA9-4C72-9401-7CDB6456FC7F}" name="Please include supportive services that are offered" dataDxfId="2"/>
    <tableColumn id="85" xr3:uid="{6A2EF478-0216-48EF-8D4C-FC34C6318C5F}" name="Please advise if the supportive services are 3rd party managed " dataDxfId="1"/>
    <tableColumn id="86" xr3:uid="{C4383812-15BE-4771-820C-1E6D1F3A6B8C}" name=". Please list all recreational facilities " dataDxfId="0"/>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15"/>
  <sheetViews>
    <sheetView tabSelected="1" topLeftCell="D1" workbookViewId="0">
      <selection activeCell="O2" sqref="O2"/>
    </sheetView>
  </sheetViews>
  <sheetFormatPr defaultRowHeight="15" x14ac:dyDescent="0.25"/>
  <cols>
    <col min="1" max="3" width="15.7109375" hidden="1" customWidth="1"/>
    <col min="4" max="5" width="15.7109375" style="1" customWidth="1"/>
    <col min="6" max="6" width="22.7109375" style="1" customWidth="1"/>
    <col min="7" max="7" width="15.7109375" style="1" customWidth="1"/>
    <col min="8" max="8" width="36.7109375" style="5" bestFit="1" customWidth="1"/>
    <col min="9" max="9" width="35.140625" style="5" bestFit="1" customWidth="1"/>
    <col min="10" max="10" width="21.5703125" style="5" customWidth="1"/>
    <col min="11" max="11" width="35.140625" style="5" customWidth="1"/>
    <col min="12" max="12" width="39.5703125" style="5" customWidth="1"/>
    <col min="13" max="13" width="20" style="1" customWidth="1"/>
    <col min="14" max="14" width="23" style="1" customWidth="1"/>
    <col min="15" max="15" width="23.5703125" style="1" customWidth="1"/>
    <col min="16" max="16" width="20.85546875" style="1" customWidth="1"/>
    <col min="17" max="17" width="11.42578125" style="1" customWidth="1"/>
    <col min="18" max="18" width="10" style="1" customWidth="1"/>
    <col min="19" max="19" width="10.85546875" style="1" customWidth="1"/>
    <col min="20" max="20" width="11.85546875" customWidth="1"/>
    <col min="21" max="21" width="15.85546875" customWidth="1"/>
    <col min="22" max="22" width="30.42578125" style="6" bestFit="1" customWidth="1"/>
    <col min="23" max="23" width="29.5703125" style="6" bestFit="1" customWidth="1"/>
    <col min="24" max="24" width="28.7109375" style="6" bestFit="1" customWidth="1"/>
    <col min="25" max="25" width="27.5703125" style="6" bestFit="1" customWidth="1"/>
    <col min="26" max="26" width="26.140625" style="6" bestFit="1" customWidth="1"/>
    <col min="27" max="27" width="26.28515625" style="6" bestFit="1" customWidth="1"/>
    <col min="28" max="28" width="27.5703125" style="6" bestFit="1" customWidth="1"/>
    <col min="29" max="29" width="15" style="6" customWidth="1"/>
    <col min="30" max="30" width="15.28515625" style="3" customWidth="1"/>
    <col min="31" max="31" width="24" style="7" bestFit="1" customWidth="1"/>
    <col min="32" max="32" width="24.85546875" style="4" customWidth="1"/>
    <col min="33" max="33" width="26" style="4" customWidth="1"/>
    <col min="34" max="34" width="26.7109375" style="4" customWidth="1"/>
    <col min="35" max="35" width="22.140625" style="4" customWidth="1"/>
    <col min="36" max="36" width="25.140625" style="4" customWidth="1"/>
    <col min="37" max="37" width="19.140625" style="4" customWidth="1"/>
    <col min="38" max="38" width="26.5703125" style="4" bestFit="1" customWidth="1"/>
    <col min="39" max="39" width="14.28515625" style="4" customWidth="1"/>
    <col min="40" max="40" width="21.5703125" style="9" bestFit="1" customWidth="1"/>
    <col min="41" max="41" width="23.85546875" style="6" bestFit="1" customWidth="1"/>
    <col min="42" max="42" width="21.42578125" style="1" customWidth="1"/>
    <col min="43" max="43" width="21.7109375" style="6" customWidth="1"/>
    <col min="44" max="44" width="18.28515625" style="1" customWidth="1"/>
    <col min="45" max="45" width="20.5703125" style="6" bestFit="1" customWidth="1"/>
    <col min="46" max="46" width="68.140625" bestFit="1" customWidth="1"/>
    <col min="47" max="47" width="62" bestFit="1" customWidth="1"/>
    <col min="48" max="48" width="47.42578125" bestFit="1" customWidth="1"/>
    <col min="49" max="49" width="20.42578125" customWidth="1"/>
    <col min="50" max="50" width="29.5703125" style="6" bestFit="1" customWidth="1"/>
    <col min="51" max="51" width="28.7109375" style="6" bestFit="1" customWidth="1"/>
    <col min="52" max="52" width="27.5703125" style="6" bestFit="1" customWidth="1"/>
    <col min="53" max="53" width="18.28515625" style="6" customWidth="1"/>
    <col min="54" max="54" width="19.140625" style="6" bestFit="1" customWidth="1"/>
    <col min="55" max="55" width="27.7109375" style="6" customWidth="1"/>
    <col min="56" max="56" width="24.5703125" style="6" bestFit="1" customWidth="1"/>
    <col min="57" max="57" width="23.140625" style="6" customWidth="1"/>
    <col min="58" max="58" width="15.28515625" style="4" customWidth="1"/>
    <col min="59" max="59" width="84.140625" style="1" bestFit="1" customWidth="1"/>
    <col min="60" max="60" width="65" bestFit="1" customWidth="1"/>
    <col min="61" max="61" width="52.5703125" bestFit="1" customWidth="1"/>
    <col min="62" max="62" width="25.140625" style="6" bestFit="1" customWidth="1"/>
    <col min="63" max="63" width="21.5703125" bestFit="1" customWidth="1"/>
    <col min="64" max="64" width="20" bestFit="1" customWidth="1"/>
    <col min="65" max="65" width="24" customWidth="1"/>
    <col min="66" max="66" width="25.42578125" bestFit="1" customWidth="1"/>
    <col min="67" max="67" width="36.28515625" bestFit="1" customWidth="1"/>
    <col min="68" max="68" width="30.140625" customWidth="1"/>
    <col min="69" max="69" width="9.5703125" bestFit="1" customWidth="1"/>
    <col min="70" max="70" width="25" bestFit="1" customWidth="1"/>
    <col min="71" max="71" width="23.28515625" bestFit="1" customWidth="1"/>
    <col min="72" max="72" width="24.5703125" bestFit="1" customWidth="1"/>
    <col min="73" max="73" width="39.85546875" bestFit="1" customWidth="1"/>
    <col min="74" max="74" width="26.85546875" bestFit="1" customWidth="1"/>
    <col min="75" max="75" width="24.7109375" bestFit="1" customWidth="1"/>
    <col min="76" max="76" width="27.42578125" bestFit="1" customWidth="1"/>
    <col min="77" max="77" width="19.140625" bestFit="1" customWidth="1"/>
    <col min="78" max="78" width="53.28515625" bestFit="1" customWidth="1"/>
    <col min="79" max="79" width="24.5703125" bestFit="1" customWidth="1"/>
    <col min="80" max="80" width="53.140625" bestFit="1" customWidth="1"/>
    <col min="81" max="81" width="44.140625" bestFit="1" customWidth="1"/>
    <col min="82" max="82" width="24" bestFit="1" customWidth="1"/>
    <col min="83" max="83" width="26.5703125" bestFit="1" customWidth="1"/>
    <col min="84" max="84" width="25.140625" bestFit="1" customWidth="1"/>
    <col min="85" max="85" width="16.140625" bestFit="1" customWidth="1"/>
    <col min="86" max="86" width="20" bestFit="1" customWidth="1"/>
    <col min="87" max="87" width="70.42578125" customWidth="1"/>
    <col min="88" max="88" width="20" customWidth="1"/>
    <col min="89" max="89" width="22" customWidth="1"/>
    <col min="90" max="90" width="17.5703125" customWidth="1"/>
  </cols>
  <sheetData>
    <row r="1" spans="1:90" ht="46.5" customHeight="1" x14ac:dyDescent="0.25">
      <c r="A1" t="s">
        <v>0</v>
      </c>
      <c r="B1" t="s">
        <v>1</v>
      </c>
      <c r="C1" t="s">
        <v>2</v>
      </c>
      <c r="D1" s="1" t="s">
        <v>3</v>
      </c>
      <c r="E1" s="1" t="s">
        <v>4</v>
      </c>
      <c r="F1" s="1" t="s">
        <v>5</v>
      </c>
      <c r="G1" s="1" t="s">
        <v>6</v>
      </c>
      <c r="H1" s="5" t="s">
        <v>7</v>
      </c>
      <c r="I1" s="5" t="s">
        <v>8</v>
      </c>
      <c r="J1" s="5" t="s">
        <v>9</v>
      </c>
      <c r="K1" s="19" t="s">
        <v>10</v>
      </c>
      <c r="L1" s="19" t="s">
        <v>11</v>
      </c>
      <c r="M1" s="10" t="s">
        <v>12</v>
      </c>
      <c r="N1" s="5" t="s">
        <v>13</v>
      </c>
      <c r="O1" s="5" t="s">
        <v>14</v>
      </c>
      <c r="P1" s="10" t="s">
        <v>15</v>
      </c>
      <c r="Q1" s="10" t="s">
        <v>16</v>
      </c>
      <c r="R1" s="10" t="s">
        <v>17</v>
      </c>
      <c r="S1" s="10" t="s">
        <v>18</v>
      </c>
      <c r="T1" s="10" t="s">
        <v>19</v>
      </c>
      <c r="U1" s="12" t="s">
        <v>20</v>
      </c>
      <c r="V1" s="13" t="s">
        <v>21</v>
      </c>
      <c r="W1" s="13" t="s">
        <v>22</v>
      </c>
      <c r="X1" s="13" t="s">
        <v>23</v>
      </c>
      <c r="Y1" s="13" t="s">
        <v>24</v>
      </c>
      <c r="Z1" s="13" t="s">
        <v>25</v>
      </c>
      <c r="AA1" s="13" t="s">
        <v>26</v>
      </c>
      <c r="AB1" s="13" t="s">
        <v>27</v>
      </c>
      <c r="AC1" s="15" t="s">
        <v>28</v>
      </c>
      <c r="AD1" s="3" t="s">
        <v>29</v>
      </c>
      <c r="AE1" s="7" t="s">
        <v>30</v>
      </c>
      <c r="AF1" s="4" t="s">
        <v>31</v>
      </c>
      <c r="AG1" s="4" t="s">
        <v>32</v>
      </c>
      <c r="AH1" s="4" t="s">
        <v>33</v>
      </c>
      <c r="AI1" s="4" t="s">
        <v>34</v>
      </c>
      <c r="AJ1" s="4" t="s">
        <v>35</v>
      </c>
      <c r="AK1" s="14" t="s">
        <v>36</v>
      </c>
      <c r="AL1" s="14" t="s">
        <v>37</v>
      </c>
      <c r="AM1" s="16" t="s">
        <v>38</v>
      </c>
      <c r="AN1" s="8" t="s">
        <v>39</v>
      </c>
      <c r="AO1" s="6" t="s">
        <v>40</v>
      </c>
      <c r="AP1" s="8" t="s">
        <v>41</v>
      </c>
      <c r="AQ1" s="8" t="s">
        <v>42</v>
      </c>
      <c r="AR1" s="8" t="s">
        <v>43</v>
      </c>
      <c r="AS1" s="8" t="s">
        <v>44</v>
      </c>
      <c r="AT1" t="s">
        <v>45</v>
      </c>
      <c r="AU1" t="s">
        <v>46</v>
      </c>
      <c r="AV1" t="s">
        <v>47</v>
      </c>
      <c r="AW1" t="s">
        <v>48</v>
      </c>
      <c r="AX1" s="13" t="s">
        <v>49</v>
      </c>
      <c r="AY1" s="13" t="s">
        <v>50</v>
      </c>
      <c r="AZ1" s="13" t="s">
        <v>51</v>
      </c>
      <c r="BA1" s="15" t="s">
        <v>52</v>
      </c>
      <c r="BB1" s="13" t="s">
        <v>53</v>
      </c>
      <c r="BC1" s="13" t="s">
        <v>54</v>
      </c>
      <c r="BD1" s="13" t="s">
        <v>55</v>
      </c>
      <c r="BE1" s="17" t="s">
        <v>56</v>
      </c>
      <c r="BF1" s="16" t="s">
        <v>57</v>
      </c>
      <c r="BG1" s="1" t="s">
        <v>58</v>
      </c>
      <c r="BH1" t="s">
        <v>59</v>
      </c>
      <c r="BI1" t="s">
        <v>60</v>
      </c>
      <c r="BJ1" s="17" t="s">
        <v>61</v>
      </c>
      <c r="BK1" t="s">
        <v>62</v>
      </c>
      <c r="BL1" t="s">
        <v>63</v>
      </c>
      <c r="BM1" t="s">
        <v>64</v>
      </c>
      <c r="BN1" t="s">
        <v>65</v>
      </c>
      <c r="BO1" t="s">
        <v>66</v>
      </c>
      <c r="BP1" t="s">
        <v>67</v>
      </c>
      <c r="BQ1" t="s">
        <v>68</v>
      </c>
      <c r="BR1" s="18"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s="11" t="s">
        <v>87</v>
      </c>
      <c r="CK1" s="11" t="s">
        <v>88</v>
      </c>
      <c r="CL1" s="11" t="s">
        <v>89</v>
      </c>
    </row>
    <row r="2" spans="1:90" x14ac:dyDescent="0.25">
      <c r="D2" s="1" t="s">
        <v>144</v>
      </c>
      <c r="E2" s="1" t="s">
        <v>145</v>
      </c>
      <c r="F2" s="1" t="s">
        <v>144</v>
      </c>
      <c r="G2" s="1" t="s">
        <v>145</v>
      </c>
      <c r="H2" s="30"/>
      <c r="I2" s="30"/>
      <c r="J2" s="5" t="s">
        <v>113</v>
      </c>
      <c r="K2" s="22" t="s">
        <v>91</v>
      </c>
      <c r="L2" s="30"/>
      <c r="M2" s="1" t="s">
        <v>146</v>
      </c>
      <c r="N2" s="23" t="s">
        <v>153</v>
      </c>
      <c r="O2" s="31"/>
      <c r="P2" s="1" t="s">
        <v>147</v>
      </c>
      <c r="Q2" s="1" t="s">
        <v>148</v>
      </c>
      <c r="R2" s="1" t="s">
        <v>149</v>
      </c>
      <c r="S2" s="1">
        <v>79601</v>
      </c>
      <c r="T2" t="s">
        <v>150</v>
      </c>
      <c r="U2" t="s">
        <v>93</v>
      </c>
      <c r="V2" s="6">
        <v>0</v>
      </c>
      <c r="W2" s="6">
        <v>0</v>
      </c>
      <c r="X2" s="6">
        <v>0</v>
      </c>
      <c r="Y2" s="6">
        <v>0</v>
      </c>
      <c r="Z2" s="6">
        <v>192</v>
      </c>
      <c r="AA2" s="6">
        <v>504</v>
      </c>
      <c r="AB2" s="6">
        <v>0</v>
      </c>
      <c r="AC2" s="6">
        <f>Table1[[#This Row],[Number of Senior Units]]+Table1[[#This Row],[Number of Student Units]]+Table1[[#This Row],[Number of Section 8 Units]]+Table1[[#This Row],[Number of Section 42 Units]]+Table1[[#This Row],[Number of Market Rate Units]]</f>
        <v>192</v>
      </c>
      <c r="AD2" s="2">
        <v>80</v>
      </c>
      <c r="AE2" s="7">
        <v>0</v>
      </c>
      <c r="AF2" s="4">
        <v>0</v>
      </c>
      <c r="AG2" s="4">
        <v>118</v>
      </c>
      <c r="AH2" s="4">
        <f>Table1[[#This Row],[Residential Price Per Sqft]]*Table1[[#This Row],[Gross Sqft]]</f>
        <v>30083038</v>
      </c>
      <c r="AK2" s="21">
        <v>250000</v>
      </c>
      <c r="AL2" s="21">
        <v>2500000</v>
      </c>
      <c r="AM2" s="4">
        <f>SUM(AF2,AH2,AK2,AL2)</f>
        <v>32833038</v>
      </c>
      <c r="AN2" s="9">
        <v>39448</v>
      </c>
      <c r="AP2" s="1" t="s">
        <v>100</v>
      </c>
      <c r="AQ2" s="6">
        <v>3</v>
      </c>
      <c r="AR2" s="23" t="s">
        <v>107</v>
      </c>
      <c r="AS2" s="6">
        <v>2023</v>
      </c>
      <c r="AV2" s="20" t="s">
        <v>113</v>
      </c>
      <c r="AW2" s="29"/>
      <c r="AX2" s="6">
        <v>10</v>
      </c>
      <c r="AY2" s="6">
        <v>1</v>
      </c>
      <c r="BA2" s="6">
        <f>Table1[[#This Row],[Number of Apartment Bldgs.]]+Table1[[#This Row],[Number of Clubhouse Bldgs]]+Table1[[#This Row],[Number of Ancillary Bldgs.]]</f>
        <v>11</v>
      </c>
      <c r="BB2" s="6">
        <v>246561</v>
      </c>
      <c r="BD2" s="6">
        <v>8380</v>
      </c>
      <c r="BF2" s="4">
        <f>SUM(Table1[[#This Row],[Residential Sqft]:[Garage Square Feet]])</f>
        <v>254941</v>
      </c>
      <c r="BJ2" s="6">
        <v>1</v>
      </c>
      <c r="BK2" t="s">
        <v>113</v>
      </c>
      <c r="BL2" t="s">
        <v>112</v>
      </c>
      <c r="BM2" t="s">
        <v>112</v>
      </c>
      <c r="BN2" s="20" t="s">
        <v>112</v>
      </c>
      <c r="BO2" s="20" t="s">
        <v>112</v>
      </c>
      <c r="BP2">
        <v>1</v>
      </c>
      <c r="BQ2" s="20" t="s">
        <v>112</v>
      </c>
      <c r="BR2" t="s">
        <v>112</v>
      </c>
      <c r="BS2" s="20" t="s">
        <v>130</v>
      </c>
      <c r="BT2" t="s">
        <v>112</v>
      </c>
      <c r="BU2" s="20" t="s">
        <v>134</v>
      </c>
      <c r="BV2" s="20" t="s">
        <v>112</v>
      </c>
      <c r="BW2" s="20" t="s">
        <v>113</v>
      </c>
      <c r="BX2" s="20"/>
      <c r="BY2" s="20" t="s">
        <v>112</v>
      </c>
      <c r="BZ2" s="20" t="s">
        <v>112</v>
      </c>
      <c r="CA2" t="s">
        <v>112</v>
      </c>
      <c r="CB2" s="20" t="s">
        <v>112</v>
      </c>
      <c r="CC2" s="20" t="s">
        <v>112</v>
      </c>
      <c r="CD2" s="20" t="s">
        <v>143</v>
      </c>
      <c r="CE2" s="20"/>
      <c r="CF2" s="20" t="s">
        <v>112</v>
      </c>
      <c r="CG2" s="20" t="s">
        <v>112</v>
      </c>
      <c r="CH2" s="20" t="s">
        <v>112</v>
      </c>
      <c r="CI2" s="20" t="s">
        <v>152</v>
      </c>
      <c r="CJ2" s="20" t="s">
        <v>151</v>
      </c>
      <c r="CK2" s="20"/>
      <c r="CL2" s="20"/>
    </row>
    <row r="3" spans="1:90" s="20" customFormat="1" x14ac:dyDescent="0.25">
      <c r="D3" s="23"/>
      <c r="E3" s="23"/>
      <c r="F3" s="23"/>
      <c r="G3" s="23"/>
      <c r="H3" s="22"/>
      <c r="I3" s="22"/>
      <c r="J3" s="22"/>
      <c r="K3" s="22"/>
      <c r="L3" s="22"/>
      <c r="M3" s="23"/>
      <c r="N3" s="23"/>
      <c r="O3" s="23"/>
      <c r="P3" s="23"/>
      <c r="Q3" s="23"/>
      <c r="R3" s="23"/>
      <c r="S3" s="23"/>
      <c r="V3" s="24"/>
      <c r="W3" s="24"/>
      <c r="X3" s="24"/>
      <c r="Y3" s="24"/>
      <c r="Z3" s="24"/>
      <c r="AA3" s="24"/>
      <c r="AB3" s="24"/>
      <c r="AC3" s="24"/>
      <c r="AD3" s="25"/>
      <c r="AE3" s="26"/>
      <c r="AF3" s="21"/>
      <c r="AG3" s="21"/>
      <c r="AH3" s="21"/>
      <c r="AI3" s="21"/>
      <c r="AJ3" s="21"/>
      <c r="AK3" s="21"/>
      <c r="AL3" s="21"/>
      <c r="AM3" s="21"/>
      <c r="AN3" s="27"/>
      <c r="AO3" s="24"/>
      <c r="AP3" s="23"/>
      <c r="AQ3" s="24"/>
      <c r="AR3" s="23"/>
      <c r="AS3" s="24"/>
      <c r="AX3" s="24"/>
      <c r="AY3" s="24"/>
      <c r="AZ3" s="24"/>
      <c r="BA3" s="24"/>
      <c r="BB3" s="24"/>
      <c r="BC3" s="24"/>
      <c r="BD3" s="24"/>
      <c r="BE3" s="24"/>
      <c r="BF3" s="21"/>
      <c r="BG3" s="23"/>
      <c r="BJ3" s="24"/>
    </row>
    <row r="4" spans="1:90" s="20" customFormat="1" x14ac:dyDescent="0.25">
      <c r="D4" s="23"/>
      <c r="E4" s="23"/>
      <c r="F4" s="23"/>
      <c r="G4" s="23"/>
      <c r="H4" s="22"/>
      <c r="I4" s="22"/>
      <c r="J4" s="22"/>
      <c r="K4" s="22"/>
      <c r="L4" s="22"/>
      <c r="M4" s="23"/>
      <c r="N4" s="23"/>
      <c r="O4" s="23"/>
      <c r="P4" s="23"/>
      <c r="Q4" s="23"/>
      <c r="R4" s="23"/>
      <c r="S4" s="23"/>
      <c r="V4" s="24"/>
      <c r="W4" s="24"/>
      <c r="X4" s="24"/>
      <c r="Y4" s="24"/>
      <c r="Z4" s="24"/>
      <c r="AA4" s="24"/>
      <c r="AB4" s="24"/>
      <c r="AC4" s="24"/>
      <c r="AD4" s="28"/>
      <c r="AE4" s="26"/>
      <c r="AF4" s="21"/>
      <c r="AG4" s="21"/>
      <c r="AH4" s="21"/>
      <c r="AI4" s="21"/>
      <c r="AJ4" s="21"/>
      <c r="AK4" s="21"/>
      <c r="AL4" s="21"/>
      <c r="AM4" s="21"/>
      <c r="AN4" s="27"/>
      <c r="AO4" s="24"/>
      <c r="AP4" s="23"/>
      <c r="AQ4" s="24"/>
      <c r="AR4" s="23"/>
      <c r="AS4" s="24"/>
      <c r="AX4" s="24"/>
      <c r="AY4" s="24"/>
      <c r="AZ4" s="24"/>
      <c r="BA4" s="24"/>
      <c r="BB4" s="24"/>
      <c r="BC4" s="24"/>
      <c r="BD4" s="24"/>
      <c r="BE4" s="24"/>
      <c r="BF4" s="21"/>
      <c r="BG4" s="23"/>
      <c r="BJ4" s="24"/>
    </row>
    <row r="5" spans="1:90" s="20" customFormat="1" x14ac:dyDescent="0.25">
      <c r="D5" s="23"/>
      <c r="E5" s="23"/>
      <c r="F5" s="23"/>
      <c r="G5" s="23"/>
      <c r="H5" s="22"/>
      <c r="I5" s="22"/>
      <c r="J5" s="22"/>
      <c r="K5" s="22"/>
      <c r="L5" s="22"/>
      <c r="M5" s="23"/>
      <c r="N5" s="23"/>
      <c r="O5" s="23"/>
      <c r="P5" s="23"/>
      <c r="Q5" s="23"/>
      <c r="R5" s="23"/>
      <c r="S5" s="23"/>
      <c r="V5" s="24"/>
      <c r="W5" s="24"/>
      <c r="X5" s="24"/>
      <c r="Y5" s="24"/>
      <c r="Z5" s="24"/>
      <c r="AA5" s="24"/>
      <c r="AB5" s="24"/>
      <c r="AC5" s="24"/>
      <c r="AD5" s="28"/>
      <c r="AE5" s="26"/>
      <c r="AF5" s="21"/>
      <c r="AG5" s="21"/>
      <c r="AH5" s="21"/>
      <c r="AI5" s="21"/>
      <c r="AJ5" s="21"/>
      <c r="AK5" s="21"/>
      <c r="AL5" s="21"/>
      <c r="AM5" s="21"/>
      <c r="AN5" s="27"/>
      <c r="AO5" s="24"/>
      <c r="AP5" s="23"/>
      <c r="AQ5" s="24"/>
      <c r="AR5" s="23"/>
      <c r="AS5" s="24"/>
      <c r="AX5" s="24"/>
      <c r="AY5" s="24"/>
      <c r="AZ5" s="24"/>
      <c r="BA5" s="24"/>
      <c r="BB5" s="24"/>
      <c r="BC5" s="24"/>
      <c r="BD5" s="24"/>
      <c r="BE5" s="24"/>
      <c r="BF5" s="21"/>
      <c r="BG5" s="23"/>
      <c r="BJ5" s="24"/>
    </row>
    <row r="6" spans="1:90" s="20" customFormat="1" x14ac:dyDescent="0.25">
      <c r="D6" s="23"/>
      <c r="E6" s="23"/>
      <c r="F6" s="23"/>
      <c r="G6" s="23"/>
      <c r="H6" s="22"/>
      <c r="I6" s="22"/>
      <c r="J6" s="22"/>
      <c r="K6" s="22"/>
      <c r="L6" s="22"/>
      <c r="M6" s="23"/>
      <c r="N6" s="23"/>
      <c r="O6" s="23"/>
      <c r="P6" s="23"/>
      <c r="Q6" s="23"/>
      <c r="R6" s="23"/>
      <c r="S6" s="23"/>
      <c r="V6" s="24"/>
      <c r="W6" s="24"/>
      <c r="X6" s="24"/>
      <c r="Y6" s="24"/>
      <c r="Z6" s="24"/>
      <c r="AA6" s="24"/>
      <c r="AB6" s="24"/>
      <c r="AC6" s="24"/>
      <c r="AD6" s="28"/>
      <c r="AE6" s="26"/>
      <c r="AF6" s="21"/>
      <c r="AG6" s="21"/>
      <c r="AH6" s="21"/>
      <c r="AI6" s="21"/>
      <c r="AJ6" s="21"/>
      <c r="AK6" s="21"/>
      <c r="AL6" s="21"/>
      <c r="AM6" s="21"/>
      <c r="AN6" s="27"/>
      <c r="AO6" s="24"/>
      <c r="AP6" s="23"/>
      <c r="AQ6" s="24"/>
      <c r="AR6" s="23"/>
      <c r="AS6" s="24"/>
      <c r="AX6" s="24"/>
      <c r="AY6" s="24"/>
      <c r="AZ6" s="24"/>
      <c r="BA6" s="24"/>
      <c r="BB6" s="24"/>
      <c r="BC6" s="24"/>
      <c r="BD6" s="24"/>
      <c r="BE6" s="24"/>
      <c r="BF6" s="21"/>
      <c r="BG6" s="23"/>
      <c r="BJ6" s="24"/>
    </row>
    <row r="7" spans="1:90" s="20" customFormat="1" x14ac:dyDescent="0.25">
      <c r="D7" s="23"/>
      <c r="E7" s="23"/>
      <c r="F7" s="23"/>
      <c r="G7" s="23"/>
      <c r="H7" s="22"/>
      <c r="I7" s="22"/>
      <c r="J7" s="22"/>
      <c r="K7" s="22"/>
      <c r="L7" s="22"/>
      <c r="M7" s="23"/>
      <c r="N7" s="23"/>
      <c r="O7" s="23"/>
      <c r="P7" s="23"/>
      <c r="Q7" s="23"/>
      <c r="R7" s="23"/>
      <c r="S7" s="23"/>
      <c r="V7" s="24"/>
      <c r="W7" s="24"/>
      <c r="X7" s="24"/>
      <c r="Y7" s="24"/>
      <c r="Z7" s="24"/>
      <c r="AA7" s="24"/>
      <c r="AB7" s="24"/>
      <c r="AC7" s="24"/>
      <c r="AD7" s="28"/>
      <c r="AE7" s="26"/>
      <c r="AF7" s="21"/>
      <c r="AG7" s="21"/>
      <c r="AH7" s="21"/>
      <c r="AI7" s="21"/>
      <c r="AJ7" s="21"/>
      <c r="AK7" s="21"/>
      <c r="AL7" s="21"/>
      <c r="AM7" s="21"/>
      <c r="AN7" s="27"/>
      <c r="AO7" s="24"/>
      <c r="AP7" s="23"/>
      <c r="AQ7" s="24"/>
      <c r="AR7" s="23"/>
      <c r="AS7" s="24"/>
      <c r="AX7" s="24"/>
      <c r="AY7" s="24"/>
      <c r="AZ7" s="24"/>
      <c r="BA7" s="24"/>
      <c r="BB7" s="24"/>
      <c r="BC7" s="24"/>
      <c r="BD7" s="24"/>
      <c r="BE7" s="24"/>
      <c r="BF7" s="21"/>
      <c r="BG7" s="23"/>
      <c r="BJ7" s="24"/>
    </row>
    <row r="8" spans="1:90" s="20" customFormat="1" x14ac:dyDescent="0.25">
      <c r="D8" s="23"/>
      <c r="E8" s="23"/>
      <c r="F8" s="23"/>
      <c r="G8" s="23"/>
      <c r="H8" s="22"/>
      <c r="I8" s="22"/>
      <c r="J8" s="22"/>
      <c r="K8" s="22"/>
      <c r="L8" s="22"/>
      <c r="M8" s="23"/>
      <c r="N8" s="23"/>
      <c r="O8" s="23"/>
      <c r="P8" s="23"/>
      <c r="Q8" s="23"/>
      <c r="R8" s="23"/>
      <c r="S8" s="23"/>
      <c r="V8" s="24"/>
      <c r="W8" s="24"/>
      <c r="X8" s="24"/>
      <c r="Y8" s="24"/>
      <c r="Z8" s="24"/>
      <c r="AA8" s="24"/>
      <c r="AB8" s="24"/>
      <c r="AC8" s="24"/>
      <c r="AD8" s="28"/>
      <c r="AE8" s="26"/>
      <c r="AF8" s="21"/>
      <c r="AG8" s="21"/>
      <c r="AH8" s="21"/>
      <c r="AI8" s="21"/>
      <c r="AJ8" s="21"/>
      <c r="AK8" s="21"/>
      <c r="AL8" s="21"/>
      <c r="AM8" s="21"/>
      <c r="AN8" s="27"/>
      <c r="AO8" s="24"/>
      <c r="AP8" s="23"/>
      <c r="AQ8" s="24"/>
      <c r="AR8" s="23"/>
      <c r="AS8" s="24"/>
      <c r="AX8" s="24"/>
      <c r="AY8" s="24"/>
      <c r="AZ8" s="24"/>
      <c r="BA8" s="24"/>
      <c r="BB8" s="24"/>
      <c r="BC8" s="24"/>
      <c r="BD8" s="24"/>
      <c r="BE8" s="24"/>
      <c r="BF8" s="21"/>
      <c r="BG8" s="23"/>
      <c r="BJ8" s="24"/>
    </row>
    <row r="9" spans="1:90" s="20" customFormat="1" x14ac:dyDescent="0.25">
      <c r="D9" s="23"/>
      <c r="E9" s="23"/>
      <c r="F9" s="23"/>
      <c r="G9" s="23"/>
      <c r="H9" s="22"/>
      <c r="I9" s="22"/>
      <c r="J9" s="22"/>
      <c r="K9" s="22"/>
      <c r="L9" s="22"/>
      <c r="M9" s="23"/>
      <c r="N9" s="23"/>
      <c r="O9" s="23"/>
      <c r="P9" s="23"/>
      <c r="Q9" s="23"/>
      <c r="R9" s="23"/>
      <c r="S9" s="23"/>
      <c r="V9" s="24"/>
      <c r="W9" s="24"/>
      <c r="X9" s="24"/>
      <c r="Y9" s="24"/>
      <c r="Z9" s="24"/>
      <c r="AA9" s="24"/>
      <c r="AB9" s="24"/>
      <c r="AC9" s="24"/>
      <c r="AD9" s="28"/>
      <c r="AE9" s="26"/>
      <c r="AF9" s="21"/>
      <c r="AG9" s="21"/>
      <c r="AH9" s="21"/>
      <c r="AI9" s="21"/>
      <c r="AJ9" s="21"/>
      <c r="AK9" s="21"/>
      <c r="AL9" s="21"/>
      <c r="AM9" s="21"/>
      <c r="AN9" s="27"/>
      <c r="AO9" s="24"/>
      <c r="AP9" s="23"/>
      <c r="AQ9" s="24"/>
      <c r="AR9" s="23"/>
      <c r="AS9" s="24"/>
      <c r="AX9" s="24"/>
      <c r="AY9" s="24"/>
      <c r="AZ9" s="24"/>
      <c r="BA9" s="24"/>
      <c r="BB9" s="24"/>
      <c r="BC9" s="24"/>
      <c r="BD9" s="24"/>
      <c r="BE9" s="24"/>
      <c r="BF9" s="21"/>
      <c r="BG9" s="23"/>
      <c r="BJ9" s="24"/>
    </row>
    <row r="10" spans="1:90" s="20" customFormat="1" x14ac:dyDescent="0.25">
      <c r="D10" s="23"/>
      <c r="E10" s="23"/>
      <c r="F10" s="23"/>
      <c r="G10" s="23"/>
      <c r="H10" s="22"/>
      <c r="I10" s="22"/>
      <c r="J10" s="22"/>
      <c r="K10" s="22"/>
      <c r="L10" s="22"/>
      <c r="M10" s="23"/>
      <c r="N10" s="23"/>
      <c r="O10" s="23"/>
      <c r="P10" s="23"/>
      <c r="Q10" s="23"/>
      <c r="R10" s="23"/>
      <c r="S10" s="23"/>
      <c r="V10" s="24"/>
      <c r="W10" s="24"/>
      <c r="X10" s="24"/>
      <c r="Y10" s="24"/>
      <c r="Z10" s="24"/>
      <c r="AA10" s="24"/>
      <c r="AB10" s="24"/>
      <c r="AC10" s="24"/>
      <c r="AD10" s="28"/>
      <c r="AE10" s="26"/>
      <c r="AF10" s="21"/>
      <c r="AG10" s="21"/>
      <c r="AH10" s="21"/>
      <c r="AI10" s="21"/>
      <c r="AJ10" s="21"/>
      <c r="AK10" s="21"/>
      <c r="AL10" s="21"/>
      <c r="AM10" s="21"/>
      <c r="AN10" s="27"/>
      <c r="AO10" s="24"/>
      <c r="AP10" s="23"/>
      <c r="AQ10" s="24"/>
      <c r="AR10" s="23"/>
      <c r="AS10" s="24"/>
      <c r="AX10" s="24"/>
      <c r="AY10" s="24"/>
      <c r="AZ10" s="24"/>
      <c r="BA10" s="24"/>
      <c r="BB10" s="24"/>
      <c r="BC10" s="24"/>
      <c r="BD10" s="24"/>
      <c r="BE10" s="24"/>
      <c r="BF10" s="21"/>
      <c r="BG10" s="23"/>
      <c r="BJ10" s="24"/>
    </row>
    <row r="11" spans="1:90" s="20" customFormat="1" x14ac:dyDescent="0.25">
      <c r="D11" s="23"/>
      <c r="E11" s="23"/>
      <c r="F11" s="23"/>
      <c r="G11" s="23"/>
      <c r="H11" s="22"/>
      <c r="I11" s="22"/>
      <c r="J11" s="22"/>
      <c r="K11" s="22"/>
      <c r="L11" s="22"/>
      <c r="M11" s="23"/>
      <c r="N11" s="23"/>
      <c r="O11" s="23"/>
      <c r="P11" s="23"/>
      <c r="Q11" s="23"/>
      <c r="R11" s="23"/>
      <c r="S11" s="23"/>
      <c r="V11" s="24"/>
      <c r="W11" s="24"/>
      <c r="X11" s="24"/>
      <c r="Y11" s="24"/>
      <c r="Z11" s="24"/>
      <c r="AA11" s="24"/>
      <c r="AB11" s="24"/>
      <c r="AC11" s="24"/>
      <c r="AD11" s="28"/>
      <c r="AE11" s="26"/>
      <c r="AF11" s="21"/>
      <c r="AG11" s="21"/>
      <c r="AH11" s="21"/>
      <c r="AI11" s="21"/>
      <c r="AJ11" s="21"/>
      <c r="AK11" s="21"/>
      <c r="AL11" s="21"/>
      <c r="AM11" s="21"/>
      <c r="AN11" s="27"/>
      <c r="AO11" s="24"/>
      <c r="AP11" s="23"/>
      <c r="AQ11" s="24"/>
      <c r="AR11" s="23"/>
      <c r="AS11" s="24"/>
      <c r="AX11" s="24"/>
      <c r="AY11" s="24"/>
      <c r="AZ11" s="24"/>
      <c r="BA11" s="24"/>
      <c r="BB11" s="24"/>
      <c r="BC11" s="24"/>
      <c r="BD11" s="24"/>
      <c r="BE11" s="24"/>
      <c r="BF11" s="21"/>
      <c r="BG11" s="23"/>
      <c r="BJ11" s="24"/>
    </row>
    <row r="12" spans="1:90" s="20" customFormat="1" x14ac:dyDescent="0.25">
      <c r="D12" s="23"/>
      <c r="E12" s="23"/>
      <c r="F12" s="23"/>
      <c r="G12" s="23"/>
      <c r="H12" s="22"/>
      <c r="I12" s="22"/>
      <c r="J12" s="22"/>
      <c r="K12" s="22"/>
      <c r="L12" s="22"/>
      <c r="M12" s="23"/>
      <c r="N12" s="23"/>
      <c r="O12" s="23"/>
      <c r="P12" s="23"/>
      <c r="Q12" s="23"/>
      <c r="R12" s="23"/>
      <c r="S12" s="23"/>
      <c r="V12" s="24"/>
      <c r="W12" s="24"/>
      <c r="X12" s="24"/>
      <c r="Y12" s="24"/>
      <c r="Z12" s="24"/>
      <c r="AA12" s="24"/>
      <c r="AB12" s="24"/>
      <c r="AC12" s="24"/>
      <c r="AD12" s="28"/>
      <c r="AE12" s="26"/>
      <c r="AF12" s="21"/>
      <c r="AG12" s="21"/>
      <c r="AH12" s="21"/>
      <c r="AI12" s="21"/>
      <c r="AJ12" s="21"/>
      <c r="AK12" s="21"/>
      <c r="AL12" s="21"/>
      <c r="AM12" s="21"/>
      <c r="AN12" s="27"/>
      <c r="AO12" s="24"/>
      <c r="AP12" s="23"/>
      <c r="AQ12" s="24"/>
      <c r="AR12" s="23"/>
      <c r="AS12" s="24"/>
      <c r="AX12" s="24"/>
      <c r="AY12" s="24"/>
      <c r="AZ12" s="24"/>
      <c r="BA12" s="24"/>
      <c r="BB12" s="24"/>
      <c r="BC12" s="24"/>
      <c r="BD12" s="24"/>
      <c r="BE12" s="24"/>
      <c r="BF12" s="21"/>
      <c r="BG12" s="23"/>
      <c r="BJ12" s="24"/>
    </row>
    <row r="13" spans="1:90" s="20" customFormat="1" x14ac:dyDescent="0.25">
      <c r="D13" s="23"/>
      <c r="E13" s="23"/>
      <c r="F13" s="23"/>
      <c r="G13" s="23"/>
      <c r="H13" s="22"/>
      <c r="I13" s="22"/>
      <c r="J13" s="22"/>
      <c r="K13" s="22"/>
      <c r="L13" s="22"/>
      <c r="M13" s="23"/>
      <c r="N13" s="23"/>
      <c r="O13" s="23"/>
      <c r="P13" s="23"/>
      <c r="Q13" s="23"/>
      <c r="R13" s="23"/>
      <c r="S13" s="23"/>
      <c r="V13" s="24"/>
      <c r="W13" s="24"/>
      <c r="X13" s="24"/>
      <c r="Y13" s="24"/>
      <c r="Z13" s="24"/>
      <c r="AA13" s="24"/>
      <c r="AB13" s="24"/>
      <c r="AC13" s="24"/>
      <c r="AD13" s="28"/>
      <c r="AE13" s="26"/>
      <c r="AF13" s="21"/>
      <c r="AG13" s="21"/>
      <c r="AH13" s="21"/>
      <c r="AI13" s="21"/>
      <c r="AJ13" s="21"/>
      <c r="AK13" s="21"/>
      <c r="AL13" s="21"/>
      <c r="AM13" s="21"/>
      <c r="AN13" s="27"/>
      <c r="AO13" s="24"/>
      <c r="AP13" s="23"/>
      <c r="AQ13" s="24"/>
      <c r="AR13" s="23"/>
      <c r="AS13" s="24"/>
      <c r="AX13" s="24"/>
      <c r="AY13" s="24"/>
      <c r="AZ13" s="24"/>
      <c r="BA13" s="24"/>
      <c r="BB13" s="24"/>
      <c r="BC13" s="24"/>
      <c r="BD13" s="24"/>
      <c r="BE13" s="24"/>
      <c r="BF13" s="21"/>
      <c r="BG13" s="23"/>
      <c r="BJ13" s="24"/>
    </row>
    <row r="14" spans="1:90" s="20" customFormat="1" x14ac:dyDescent="0.25">
      <c r="D14" s="23"/>
      <c r="E14" s="23"/>
      <c r="F14" s="23"/>
      <c r="G14" s="23"/>
      <c r="H14" s="22"/>
      <c r="I14" s="22"/>
      <c r="J14" s="22"/>
      <c r="K14" s="22"/>
      <c r="L14" s="22"/>
      <c r="M14" s="23"/>
      <c r="N14" s="23"/>
      <c r="O14" s="23"/>
      <c r="P14" s="23"/>
      <c r="Q14" s="23"/>
      <c r="R14" s="23"/>
      <c r="S14" s="23"/>
      <c r="V14" s="24"/>
      <c r="W14" s="24"/>
      <c r="X14" s="24"/>
      <c r="Y14" s="24"/>
      <c r="Z14" s="24"/>
      <c r="AA14" s="24"/>
      <c r="AB14" s="24"/>
      <c r="AC14" s="24"/>
      <c r="AD14" s="28"/>
      <c r="AE14" s="26"/>
      <c r="AF14" s="21"/>
      <c r="AG14" s="21"/>
      <c r="AH14" s="21"/>
      <c r="AI14" s="21"/>
      <c r="AJ14" s="21"/>
      <c r="AK14" s="21"/>
      <c r="AL14" s="21"/>
      <c r="AM14" s="21"/>
      <c r="AN14" s="27"/>
      <c r="AO14" s="24"/>
      <c r="AP14" s="23"/>
      <c r="AQ14" s="24"/>
      <c r="AR14" s="23"/>
      <c r="AS14" s="24"/>
      <c r="AX14" s="24"/>
      <c r="AY14" s="24"/>
      <c r="AZ14" s="24"/>
      <c r="BA14" s="24"/>
      <c r="BB14" s="24"/>
      <c r="BC14" s="24"/>
      <c r="BD14" s="24"/>
      <c r="BE14" s="24"/>
      <c r="BF14" s="21"/>
      <c r="BG14" s="23"/>
      <c r="BJ14" s="24"/>
    </row>
    <row r="15" spans="1:90" s="20" customFormat="1" x14ac:dyDescent="0.25">
      <c r="D15" s="23"/>
      <c r="E15" s="23"/>
      <c r="F15" s="23"/>
      <c r="G15" s="23"/>
      <c r="H15" s="22"/>
      <c r="I15" s="22"/>
      <c r="J15" s="22"/>
      <c r="K15" s="22"/>
      <c r="L15" s="22"/>
      <c r="M15" s="23"/>
      <c r="N15" s="23"/>
      <c r="O15" s="23"/>
      <c r="P15" s="23"/>
      <c r="Q15" s="23"/>
      <c r="R15" s="23"/>
      <c r="S15" s="23"/>
      <c r="V15" s="24"/>
      <c r="W15" s="24"/>
      <c r="X15" s="24"/>
      <c r="Y15" s="24"/>
      <c r="Z15" s="24"/>
      <c r="AA15" s="24"/>
      <c r="AB15" s="24"/>
      <c r="AC15" s="24"/>
      <c r="AD15" s="28"/>
      <c r="AE15" s="26"/>
      <c r="AF15" s="21"/>
      <c r="AG15" s="21"/>
      <c r="AH15" s="21"/>
      <c r="AI15" s="21"/>
      <c r="AJ15" s="21"/>
      <c r="AK15" s="21"/>
      <c r="AL15" s="21"/>
      <c r="AM15" s="21"/>
      <c r="AN15" s="27"/>
      <c r="AO15" s="24"/>
      <c r="AP15" s="23"/>
      <c r="AQ15" s="24"/>
      <c r="AR15" s="23"/>
      <c r="AS15" s="24"/>
      <c r="AX15" s="24"/>
      <c r="AY15" s="24"/>
      <c r="AZ15" s="24"/>
      <c r="BA15" s="24"/>
      <c r="BB15" s="24"/>
      <c r="BC15" s="24"/>
      <c r="BD15" s="24"/>
      <c r="BE15" s="24"/>
      <c r="BF15" s="21"/>
      <c r="BG15" s="23"/>
      <c r="BJ15" s="24"/>
    </row>
  </sheetData>
  <phoneticPr fontId="1" type="noConversion"/>
  <dataValidations count="18">
    <dataValidation type="whole" operator="greaterThanOrEqual" allowBlank="1" showInputMessage="1" showErrorMessage="1" prompt="Enter 0 if n/a" sqref="AZ1 BG2:BH1048576 AX2:AZ1048576 BC2:BC1048576 BB1:BB1048576" xr:uid="{3E0397E8-63D6-458A-B796-CA4854CD9AB2}">
      <formula1>0</formula1>
    </dataValidation>
    <dataValidation type="date" allowBlank="1" showInputMessage="1" showErrorMessage="1" sqref="H2:I1048576 L2:L1048576" xr:uid="{894BCF3C-A378-4260-9FFA-5D00E1267EE0}">
      <formula1>1</formula1>
      <formula2>365245</formula2>
    </dataValidation>
    <dataValidation type="whole" allowBlank="1" showInputMessage="1" showErrorMessage="1" sqref="W2:AA1048576" xr:uid="{3DFB8813-D03E-43FA-8AC1-A65B1879F2BF}">
      <formula1>0</formula1>
      <formula2>1000000</formula2>
    </dataValidation>
    <dataValidation type="whole" allowBlank="1" showInputMessage="1" showErrorMessage="1" sqref="AD2:AD1048576" xr:uid="{013695A2-356D-4668-81BF-49DD097CF239}">
      <formula1>0</formula1>
      <formula2>100</formula2>
    </dataValidation>
    <dataValidation type="date" operator="greaterThan" allowBlank="1" showInputMessage="1" showErrorMessage="1" sqref="AO2:AO1048576" xr:uid="{CBDABF9C-5D38-4BA4-BC37-556F35F114AB}">
      <formula1>1</formula1>
    </dataValidation>
    <dataValidation type="date" operator="greaterThan" allowBlank="1" showInputMessage="1" showErrorMessage="1" error="Please use MM/DD/YYYY format." sqref="AN2:AN1048576" xr:uid="{31F856BA-7E0A-4A2B-B400-FC3515A6FEB5}">
      <formula1>1</formula1>
    </dataValidation>
    <dataValidation operator="greaterThan" allowBlank="1" showInputMessage="1" showErrorMessage="1" prompt="If different by building please describe" sqref="AQ2:AQ1048576" xr:uid="{044A4FDF-83D7-4A06-B1FB-2AF0C8F58006}"/>
    <dataValidation type="whole" operator="greaterThan" allowBlank="1" showInputMessage="1" showErrorMessage="1" sqref="AS2:AS1048576" xr:uid="{7FC9C3DB-7B89-4DD8-93F1-6899B984A0D8}">
      <formula1>1000</formula1>
    </dataValidation>
    <dataValidation type="whole" operator="greaterThanOrEqual" allowBlank="1" showInputMessage="1" showErrorMessage="1" sqref="BJ2:BJ1048576" xr:uid="{F489AA2B-9956-4423-B066-A5C3B504A5B1}">
      <formula1>0</formula1>
    </dataValidation>
    <dataValidation type="whole" operator="greaterThanOrEqual" allowBlank="1" showInputMessage="1" showErrorMessage="1" sqref="BP2:BP1048576" xr:uid="{2A220FDF-3AE7-49CB-B798-D0A6F48C6EE5}">
      <formula1>1</formula1>
    </dataValidation>
    <dataValidation type="whole" allowBlank="1" showInputMessage="1" showErrorMessage="1" prompt="Please exclude section 42, section 8, senior or student units in the total." sqref="V2:V1048576" xr:uid="{F46E3C0B-BD57-495D-A1FA-3CF7E31FA279}">
      <formula1>0</formula1>
      <formula2>1000000</formula2>
    </dataValidation>
    <dataValidation allowBlank="1" showInputMessage="1" showErrorMessage="1" prompt="Please provide number of units and describe" sqref="AB2:AB1048576" xr:uid="{16701E7E-E248-435D-96C8-3A72EDCBC80B}"/>
    <dataValidation type="whole" operator="greaterThanOrEqual" allowBlank="1" showInputMessage="1" showErrorMessage="1" prompt="Replacement cost or current insured value_x000a_If unknown Lockton will run Marshall &amp; Swift report for valuation" sqref="AF2:AF1048576 AH2:AH1048576 AJ2:AJ1048576" xr:uid="{6DBA529E-6516-4046-8F60-1D83128E109F}">
      <formula1>0</formula1>
    </dataValidation>
    <dataValidation type="whole" operator="greaterThanOrEqual" allowBlank="1" showInputMessage="1" showErrorMessage="1" prompt="Replacement Cost or current insured value" sqref="AK2:AK1048576" xr:uid="{D203BEAF-B0A6-48BA-8CCA-47659FBA4952}">
      <formula1>0</formula1>
    </dataValidation>
    <dataValidation type="whole" operator="greaterThanOrEqual" allowBlank="1" showInputMessage="1" showErrorMessage="1" prompt="0 if included in Residential Sqft" sqref="BD2:BD1048576" xr:uid="{7FAC5B3A-DEBC-48D3-B902-D97276702925}">
      <formula1>0</formula1>
    </dataValidation>
    <dataValidation type="whole" operator="greaterThanOrEqual" allowBlank="1" showInputMessage="1" showErrorMessage="1" prompt="Enclosed parking structures only.  Not carports or single car garages._x000a_Enter 0 if n/a" sqref="BE2:BE1048576" xr:uid="{79652CFB-FB32-4AD9-87B1-41F248D14295}">
      <formula1>0</formula1>
    </dataValidation>
    <dataValidation allowBlank="1" showInputMessage="1" showErrorMessage="1" prompt="any services provided such as meals, on site dining, transportation, home health, medical services, spas, supportive housing, transitional housing or homeless housing, kids programs/day camps." sqref="CJ2:CJ1048576" xr:uid="{6C601AE4-A883-4985-979A-9C1E8319732A}"/>
    <dataValidation allowBlank="1" showInputMessage="1" showErrorMessage="1" prompt="lakes/ponds/ocean access, tanning beds, bathing beaches, boat or other watercraft rentals, etc." sqref="CL2:CL1048576" xr:uid="{0624B4B2-A418-4AFD-A4D7-8E8637D32674}"/>
  </dataValidations>
  <pageMargins left="0.7" right="0.7" top="0.75" bottom="0.75" header="0.3" footer="0.3"/>
  <pageSetup orientation="portrait" horizontalDpi="204" verticalDpi="192" r:id="rId1"/>
  <drawing r:id="rId2"/>
  <legacyDrawing r:id="rId3"/>
  <tableParts count="1">
    <tablePart r:id="rId4"/>
  </tableParts>
  <extLst>
    <ext xmlns:x14="http://schemas.microsoft.com/office/spreadsheetml/2009/9/main" uri="{CCE6A557-97BC-4b89-ADB6-D9C93CAAB3DF}">
      <x14:dataValidations xmlns:xm="http://schemas.microsoft.com/office/excel/2006/main" count="12">
        <x14:dataValidation type="list" allowBlank="1" showInputMessage="1" showErrorMessage="1" xr:uid="{69854433-3A08-4C62-9482-8D65E23A2571}">
          <x14:formula1>
            <xm:f>Lists!$A$3:$A$4</xm:f>
          </x14:formula1>
          <xm:sqref>J2:J1048576 AT2:AT1048576 BO2:BO1048576 BQ2:BR1048576 BT2:BT1048576 BV2:BV1048576 BY2:CC1048576 CF2:CH1048576</xm:sqref>
        </x14:dataValidation>
        <x14:dataValidation type="list" allowBlank="1" showInputMessage="1" showErrorMessage="1" xr:uid="{1446923B-EA95-4676-8A26-DFF8A4D7AD99}">
          <x14:formula1>
            <xm:f>Lists!$A$8:$A$9</xm:f>
          </x14:formula1>
          <xm:sqref>K2:K1048576</xm:sqref>
        </x14:dataValidation>
        <x14:dataValidation type="list" allowBlank="1" showInputMessage="1" showErrorMessage="1" xr:uid="{D2B5AEBA-C6A3-4BC4-8498-BA92DA37A1AE}">
          <x14:formula1>
            <xm:f>Lists!$A$12:$A$19</xm:f>
          </x14:formula1>
          <xm:sqref>U2:U1048576</xm:sqref>
        </x14:dataValidation>
        <x14:dataValidation type="list" allowBlank="1" showInputMessage="1" showErrorMessage="1" prompt="See header note for construction descriptions." xr:uid="{944E8016-3550-4932-8513-26AB3464E215}">
          <x14:formula1>
            <xm:f>Lists!$A$22:$A$29</xm:f>
          </x14:formula1>
          <xm:sqref>AP2:AP1048576</xm:sqref>
        </x14:dataValidation>
        <x14:dataValidation type="list" allowBlank="1" showInputMessage="1" showErrorMessage="1" xr:uid="{911E9E6A-6C3F-4D5E-A7CE-74B86C8A2BF1}">
          <x14:formula1>
            <xm:f>Lists!$A$32:$A$35</xm:f>
          </x14:formula1>
          <xm:sqref>AR2:AR1048576</xm:sqref>
        </x14:dataValidation>
        <x14:dataValidation type="list" allowBlank="1" showInputMessage="1" showErrorMessage="1" xr:uid="{72F902F0-6E42-43A0-958D-6AEBD114D768}">
          <x14:formula1>
            <xm:f>Lists!$A$38:$A$40</xm:f>
          </x14:formula1>
          <xm:sqref>AV2:AV1048576</xm:sqref>
        </x14:dataValidation>
        <x14:dataValidation type="list" allowBlank="1" showInputMessage="1" showErrorMessage="1" prompt="Siding Material" xr:uid="{139E640A-16AD-4545-B37B-4449BD36C9DD}">
          <x14:formula1>
            <xm:f>Lists!$A$43:$A$56</xm:f>
          </x14:formula1>
          <xm:sqref>AW2:AW1048576</xm:sqref>
        </x14:dataValidation>
        <x14:dataValidation type="list" allowBlank="1" showInputMessage="1" showErrorMessage="1" xr:uid="{E4A8F600-946E-4003-9C37-4FB95DFF30D3}">
          <x14:formula1>
            <xm:f>Lists!$A$3:$A$5</xm:f>
          </x14:formula1>
          <xm:sqref>BK2:BN1048576 BW2:BW1048576</xm:sqref>
        </x14:dataValidation>
        <x14:dataValidation type="list" allowBlank="1" showInputMessage="1" showErrorMessage="1" xr:uid="{E1BF1D23-CB7C-43B7-A40C-B93429172075}">
          <x14:formula1>
            <xm:f>Lists!$A$59:$A$61</xm:f>
          </x14:formula1>
          <xm:sqref>BS2:BS1048576</xm:sqref>
        </x14:dataValidation>
        <x14:dataValidation type="list" allowBlank="1" showInputMessage="1" showErrorMessage="1" xr:uid="{8BD2E1DC-5C69-4F17-A7A1-96B3275DDA6A}">
          <x14:formula1>
            <xm:f>Lists!$A$64:$A$66</xm:f>
          </x14:formula1>
          <xm:sqref>BU2:BU1048576</xm:sqref>
        </x14:dataValidation>
        <x14:dataValidation type="list" allowBlank="1" showInputMessage="1" showErrorMessage="1" xr:uid="{187D607C-6356-4010-9D5B-85CA67AA270C}">
          <x14:formula1>
            <xm:f>Lists!$A$74:$A$79</xm:f>
          </x14:formula1>
          <xm:sqref>CD2:CD1048576</xm:sqref>
        </x14:dataValidation>
        <x14:dataValidation type="list" allowBlank="1" showInputMessage="1" showErrorMessage="1" xr:uid="{B766D4C0-5AF6-41A5-8E8F-2DEBEE851452}">
          <x14:formula1>
            <xm:f>Lists!$A$82:$A$84</xm:f>
          </x14:formula1>
          <xm:sqref>CK2:CK1048576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48BA6-E84B-4598-BCCE-9148B671FD00}">
  <sheetPr codeName="Sheet1"/>
  <dimension ref="A2:A84"/>
  <sheetViews>
    <sheetView topLeftCell="A63" workbookViewId="0">
      <selection activeCell="A9" sqref="A9"/>
    </sheetView>
  </sheetViews>
  <sheetFormatPr defaultRowHeight="15" x14ac:dyDescent="0.25"/>
  <cols>
    <col min="1" max="1" width="55.140625" customWidth="1"/>
  </cols>
  <sheetData>
    <row r="2" spans="1:1" x14ac:dyDescent="0.25">
      <c r="A2" t="s">
        <v>111</v>
      </c>
    </row>
    <row r="3" spans="1:1" x14ac:dyDescent="0.25">
      <c r="A3" t="s">
        <v>112</v>
      </c>
    </row>
    <row r="4" spans="1:1" x14ac:dyDescent="0.25">
      <c r="A4" t="s">
        <v>113</v>
      </c>
    </row>
    <row r="5" spans="1:1" x14ac:dyDescent="0.25">
      <c r="A5" t="s">
        <v>128</v>
      </c>
    </row>
    <row r="7" spans="1:1" ht="30" x14ac:dyDescent="0.25">
      <c r="A7" s="11" t="s">
        <v>10</v>
      </c>
    </row>
    <row r="8" spans="1:1" x14ac:dyDescent="0.25">
      <c r="A8" s="11" t="s">
        <v>90</v>
      </c>
    </row>
    <row r="9" spans="1:1" x14ac:dyDescent="0.25">
      <c r="A9" s="11" t="s">
        <v>91</v>
      </c>
    </row>
    <row r="10" spans="1:1" x14ac:dyDescent="0.25">
      <c r="A10" s="11"/>
    </row>
    <row r="11" spans="1:1" x14ac:dyDescent="0.25">
      <c r="A11" s="11" t="s">
        <v>20</v>
      </c>
    </row>
    <row r="12" spans="1:1" x14ac:dyDescent="0.25">
      <c r="A12" s="11" t="s">
        <v>92</v>
      </c>
    </row>
    <row r="13" spans="1:1" x14ac:dyDescent="0.25">
      <c r="A13" s="11" t="s">
        <v>93</v>
      </c>
    </row>
    <row r="14" spans="1:1" x14ac:dyDescent="0.25">
      <c r="A14" s="11" t="s">
        <v>94</v>
      </c>
    </row>
    <row r="15" spans="1:1" ht="17.25" x14ac:dyDescent="0.3">
      <c r="A15" s="11" t="s">
        <v>95</v>
      </c>
    </row>
    <row r="16" spans="1:1" x14ac:dyDescent="0.25">
      <c r="A16" s="11" t="s">
        <v>96</v>
      </c>
    </row>
    <row r="17" spans="1:1" x14ac:dyDescent="0.25">
      <c r="A17" s="11" t="s">
        <v>97</v>
      </c>
    </row>
    <row r="18" spans="1:1" x14ac:dyDescent="0.25">
      <c r="A18" s="11" t="s">
        <v>98</v>
      </c>
    </row>
    <row r="19" spans="1:1" x14ac:dyDescent="0.25">
      <c r="A19" s="11" t="s">
        <v>99</v>
      </c>
    </row>
    <row r="20" spans="1:1" x14ac:dyDescent="0.25">
      <c r="A20" s="11"/>
    </row>
    <row r="21" spans="1:1" x14ac:dyDescent="0.25">
      <c r="A21" s="11" t="s">
        <v>41</v>
      </c>
    </row>
    <row r="22" spans="1:1" x14ac:dyDescent="0.25">
      <c r="A22" s="11" t="s">
        <v>100</v>
      </c>
    </row>
    <row r="23" spans="1:1" x14ac:dyDescent="0.25">
      <c r="A23" s="11" t="s">
        <v>101</v>
      </c>
    </row>
    <row r="24" spans="1:1" x14ac:dyDescent="0.25">
      <c r="A24" s="11" t="s">
        <v>102</v>
      </c>
    </row>
    <row r="25" spans="1:1" x14ac:dyDescent="0.25">
      <c r="A25" s="11" t="s">
        <v>103</v>
      </c>
    </row>
    <row r="26" spans="1:1" x14ac:dyDescent="0.25">
      <c r="A26" s="11" t="s">
        <v>104</v>
      </c>
    </row>
    <row r="27" spans="1:1" x14ac:dyDescent="0.25">
      <c r="A27" s="11" t="s">
        <v>105</v>
      </c>
    </row>
    <row r="28" spans="1:1" x14ac:dyDescent="0.25">
      <c r="A28" s="11" t="s">
        <v>106</v>
      </c>
    </row>
    <row r="29" spans="1:1" x14ac:dyDescent="0.25">
      <c r="A29" s="11" t="s">
        <v>99</v>
      </c>
    </row>
    <row r="30" spans="1:1" x14ac:dyDescent="0.25">
      <c r="A30" s="11"/>
    </row>
    <row r="31" spans="1:1" x14ac:dyDescent="0.25">
      <c r="A31" s="11" t="s">
        <v>43</v>
      </c>
    </row>
    <row r="32" spans="1:1" x14ac:dyDescent="0.25">
      <c r="A32" s="11" t="s">
        <v>107</v>
      </c>
    </row>
    <row r="33" spans="1:1" x14ac:dyDescent="0.25">
      <c r="A33" s="11" t="s">
        <v>108</v>
      </c>
    </row>
    <row r="34" spans="1:1" x14ac:dyDescent="0.25">
      <c r="A34" s="11" t="s">
        <v>109</v>
      </c>
    </row>
    <row r="35" spans="1:1" x14ac:dyDescent="0.25">
      <c r="A35" s="11" t="s">
        <v>110</v>
      </c>
    </row>
    <row r="36" spans="1:1" x14ac:dyDescent="0.25">
      <c r="A36" s="11"/>
    </row>
    <row r="37" spans="1:1" x14ac:dyDescent="0.25">
      <c r="A37" s="11" t="s">
        <v>47</v>
      </c>
    </row>
    <row r="38" spans="1:1" x14ac:dyDescent="0.25">
      <c r="A38" s="11" t="s">
        <v>112</v>
      </c>
    </row>
    <row r="39" spans="1:1" x14ac:dyDescent="0.25">
      <c r="A39" s="11" t="s">
        <v>113</v>
      </c>
    </row>
    <row r="40" spans="1:1" x14ac:dyDescent="0.25">
      <c r="A40" s="11" t="s">
        <v>110</v>
      </c>
    </row>
    <row r="41" spans="1:1" x14ac:dyDescent="0.25">
      <c r="A41" s="11"/>
    </row>
    <row r="42" spans="1:1" x14ac:dyDescent="0.25">
      <c r="A42" s="11" t="s">
        <v>48</v>
      </c>
    </row>
    <row r="43" spans="1:1" x14ac:dyDescent="0.25">
      <c r="A43" s="11" t="s">
        <v>114</v>
      </c>
    </row>
    <row r="44" spans="1:1" x14ac:dyDescent="0.25">
      <c r="A44" s="11" t="s">
        <v>115</v>
      </c>
    </row>
    <row r="45" spans="1:1" x14ac:dyDescent="0.25">
      <c r="A45" s="11" t="s">
        <v>116</v>
      </c>
    </row>
    <row r="46" spans="1:1" x14ac:dyDescent="0.25">
      <c r="A46" s="11" t="s">
        <v>117</v>
      </c>
    </row>
    <row r="47" spans="1:1" x14ac:dyDescent="0.25">
      <c r="A47" s="11" t="s">
        <v>118</v>
      </c>
    </row>
    <row r="48" spans="1:1" x14ac:dyDescent="0.25">
      <c r="A48" s="11" t="s">
        <v>119</v>
      </c>
    </row>
    <row r="49" spans="1:1" x14ac:dyDescent="0.25">
      <c r="A49" s="11" t="s">
        <v>120</v>
      </c>
    </row>
    <row r="50" spans="1:1" x14ac:dyDescent="0.25">
      <c r="A50" s="11" t="s">
        <v>121</v>
      </c>
    </row>
    <row r="51" spans="1:1" x14ac:dyDescent="0.25">
      <c r="A51" s="11" t="s">
        <v>122</v>
      </c>
    </row>
    <row r="52" spans="1:1" ht="30" x14ac:dyDescent="0.25">
      <c r="A52" s="11" t="s">
        <v>123</v>
      </c>
    </row>
    <row r="53" spans="1:1" ht="30" x14ac:dyDescent="0.25">
      <c r="A53" s="11" t="s">
        <v>124</v>
      </c>
    </row>
    <row r="54" spans="1:1" x14ac:dyDescent="0.25">
      <c r="A54" s="11" t="s">
        <v>125</v>
      </c>
    </row>
    <row r="55" spans="1:1" x14ac:dyDescent="0.25">
      <c r="A55" s="11" t="s">
        <v>126</v>
      </c>
    </row>
    <row r="56" spans="1:1" x14ac:dyDescent="0.25">
      <c r="A56" s="11" t="s">
        <v>127</v>
      </c>
    </row>
    <row r="57" spans="1:1" x14ac:dyDescent="0.25">
      <c r="A57" s="11"/>
    </row>
    <row r="58" spans="1:1" x14ac:dyDescent="0.25">
      <c r="A58" s="11" t="s">
        <v>70</v>
      </c>
    </row>
    <row r="59" spans="1:1" x14ac:dyDescent="0.25">
      <c r="A59" s="11" t="s">
        <v>129</v>
      </c>
    </row>
    <row r="60" spans="1:1" x14ac:dyDescent="0.25">
      <c r="A60" s="11" t="s">
        <v>130</v>
      </c>
    </row>
    <row r="61" spans="1:1" x14ac:dyDescent="0.25">
      <c r="A61" s="11" t="s">
        <v>131</v>
      </c>
    </row>
    <row r="62" spans="1:1" x14ac:dyDescent="0.25">
      <c r="A62" s="11"/>
    </row>
    <row r="63" spans="1:1" x14ac:dyDescent="0.25">
      <c r="A63" s="11" t="s">
        <v>72</v>
      </c>
    </row>
    <row r="64" spans="1:1" x14ac:dyDescent="0.25">
      <c r="A64" s="11" t="s">
        <v>132</v>
      </c>
    </row>
    <row r="65" spans="1:1" x14ac:dyDescent="0.25">
      <c r="A65" s="11" t="s">
        <v>133</v>
      </c>
    </row>
    <row r="66" spans="1:1" x14ac:dyDescent="0.25">
      <c r="A66" s="11" t="s">
        <v>134</v>
      </c>
    </row>
    <row r="67" spans="1:1" x14ac:dyDescent="0.25">
      <c r="A67" s="11"/>
    </row>
    <row r="68" spans="1:1" x14ac:dyDescent="0.25">
      <c r="A68" s="11" t="s">
        <v>75</v>
      </c>
    </row>
    <row r="69" spans="1:1" x14ac:dyDescent="0.25">
      <c r="A69" s="11" t="s">
        <v>135</v>
      </c>
    </row>
    <row r="70" spans="1:1" x14ac:dyDescent="0.25">
      <c r="A70" s="11" t="s">
        <v>136</v>
      </c>
    </row>
    <row r="71" spans="1:1" x14ac:dyDescent="0.25">
      <c r="A71" s="11" t="s">
        <v>137</v>
      </c>
    </row>
    <row r="72" spans="1:1" x14ac:dyDescent="0.25">
      <c r="A72" s="11"/>
    </row>
    <row r="73" spans="1:1" x14ac:dyDescent="0.25">
      <c r="A73" s="11" t="s">
        <v>138</v>
      </c>
    </row>
    <row r="74" spans="1:1" x14ac:dyDescent="0.25">
      <c r="A74" s="11" t="s">
        <v>139</v>
      </c>
    </row>
    <row r="75" spans="1:1" x14ac:dyDescent="0.25">
      <c r="A75" s="11" t="s">
        <v>140</v>
      </c>
    </row>
    <row r="76" spans="1:1" x14ac:dyDescent="0.25">
      <c r="A76" s="11" t="s">
        <v>141</v>
      </c>
    </row>
    <row r="77" spans="1:1" x14ac:dyDescent="0.25">
      <c r="A77" s="11" t="s">
        <v>142</v>
      </c>
    </row>
    <row r="78" spans="1:1" x14ac:dyDescent="0.25">
      <c r="A78" s="11" t="s">
        <v>143</v>
      </c>
    </row>
    <row r="79" spans="1:1" x14ac:dyDescent="0.25">
      <c r="A79" s="11" t="s">
        <v>131</v>
      </c>
    </row>
    <row r="80" spans="1:1" x14ac:dyDescent="0.25">
      <c r="A80" s="11"/>
    </row>
    <row r="81" spans="1:1" ht="30" x14ac:dyDescent="0.25">
      <c r="A81" s="11" t="s">
        <v>88</v>
      </c>
    </row>
    <row r="82" spans="1:1" x14ac:dyDescent="0.25">
      <c r="A82" s="11" t="s">
        <v>112</v>
      </c>
    </row>
    <row r="83" spans="1:1" x14ac:dyDescent="0.25">
      <c r="A83" s="11" t="s">
        <v>113</v>
      </c>
    </row>
    <row r="84" spans="1:1" x14ac:dyDescent="0.25">
      <c r="A84" t="s">
        <v>110</v>
      </c>
    </row>
  </sheetData>
  <pageMargins left="0.7" right="0.7" top="0.75" bottom="0.75" header="0.3" footer="0.3"/>
  <drawing r:id="rId1"/>
  <legacyDrawing r:id="rId2"/>
  <controls>
    <mc:AlternateContent xmlns:mc="http://schemas.openxmlformats.org/markup-compatibility/2006">
      <mc:Choice Requires="x14">
        <control shapeId="1025" r:id="rId3" name="Control 1">
          <controlPr defaultSize="0" r:id="rId4">
            <anchor moveWithCells="1">
              <from>
                <xdr:col>0</xdr:col>
                <xdr:colOff>0</xdr:colOff>
                <xdr:row>8</xdr:row>
                <xdr:rowOff>0</xdr:rowOff>
              </from>
              <to>
                <xdr:col>0</xdr:col>
                <xdr:colOff>257175</xdr:colOff>
                <xdr:row>9</xdr:row>
                <xdr:rowOff>76200</xdr:rowOff>
              </to>
            </anchor>
          </controlPr>
        </control>
      </mc:Choice>
      <mc:Fallback>
        <control shapeId="1025" r:id="rId3" name="Control 1"/>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8D15A5687C5E40B0C27322D5E671DE" ma:contentTypeVersion="5" ma:contentTypeDescription="Create a new document." ma:contentTypeScope="" ma:versionID="ffd26fea32f451d90048247bbda16361">
  <xsd:schema xmlns:xsd="http://www.w3.org/2001/XMLSchema" xmlns:xs="http://www.w3.org/2001/XMLSchema" xmlns:p="http://schemas.microsoft.com/office/2006/metadata/properties" xmlns:ns2="79082200-264a-43dc-ab3a-51cd38de2e20" xmlns:ns3="bff78a6e-0a68-46db-a537-ab9b0ad8bc1e" targetNamespace="http://schemas.microsoft.com/office/2006/metadata/properties" ma:root="true" ma:fieldsID="2ac4e11a1a663816851e4fe3eef53374" ns2:_="" ns3:_="">
    <xsd:import namespace="79082200-264a-43dc-ab3a-51cd38de2e20"/>
    <xsd:import namespace="bff78a6e-0a68-46db-a537-ab9b0ad8bc1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082200-264a-43dc-ab3a-51cd38de2e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f78a6e-0a68-46db-a537-ab9b0ad8bc1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6762DF-DBA4-49AC-9D83-78E509FE8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082200-264a-43dc-ab3a-51cd38de2e20"/>
    <ds:schemaRef ds:uri="bff78a6e-0a68-46db-a537-ab9b0ad8bc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70581B-6EB3-4B14-A459-37F366B0ECC9}">
  <ds:schemaRefs>
    <ds:schemaRef ds:uri="http://schemas.microsoft.com/office/infopath/2007/PartnerControls"/>
    <ds:schemaRef ds:uri="http://purl.org/dc/elements/1.1/"/>
    <ds:schemaRef ds:uri="http://schemas.microsoft.com/office/2006/metadata/properties"/>
    <ds:schemaRef ds:uri="bff78a6e-0a68-46db-a537-ab9b0ad8bc1e"/>
    <ds:schemaRef ds:uri="http://purl.org/dc/terms/"/>
    <ds:schemaRef ds:uri="79082200-264a-43dc-ab3a-51cd38de2e20"/>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81F4B956-0A5C-4C9B-AE33-78A07CEFFC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Asset Form</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Magaw, Jacob</dc:creator>
  <cp:keywords/>
  <dc:description/>
  <cp:lastModifiedBy>Taylor, Katie</cp:lastModifiedBy>
  <cp:revision/>
  <dcterms:created xsi:type="dcterms:W3CDTF">2022-10-24T15:41:06Z</dcterms:created>
  <dcterms:modified xsi:type="dcterms:W3CDTF">2025-06-03T23:18:16Z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0x010100F38D15A5687C5E40B0C27322D5E671DE</vt:lpwstr>
  </property>
</Properties>
</file>